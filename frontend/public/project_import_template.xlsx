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\shuini_calculator\frontend\public\"/>
    </mc:Choice>
  </mc:AlternateContent>
  <xr:revisionPtr revIDLastSave="0" documentId="13_ncr:1_{3FDBD3E3-C548-46FC-8110-43C4A7EFDA7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项目信息" sheetId="1" r:id="rId1"/>
    <sheet name="配比记录1-HPC示例" sheetId="2" r:id="rId2"/>
    <sheet name="配比记录2-UHPC示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" l="1"/>
  <c r="H18" i="3"/>
  <c r="G18" i="3"/>
  <c r="F18" i="3"/>
  <c r="E18" i="3"/>
  <c r="D18" i="3"/>
  <c r="C18" i="3"/>
  <c r="B18" i="3"/>
  <c r="K17" i="3"/>
  <c r="K18" i="3" s="1"/>
  <c r="G14" i="3"/>
  <c r="F14" i="3"/>
  <c r="I14" i="3" s="1"/>
  <c r="E14" i="3"/>
  <c r="D14" i="3"/>
  <c r="C14" i="3"/>
  <c r="B14" i="3"/>
  <c r="A14" i="3"/>
  <c r="J18" i="2"/>
  <c r="I18" i="2"/>
  <c r="H18" i="2"/>
  <c r="G18" i="2"/>
  <c r="F18" i="2"/>
  <c r="E18" i="2"/>
  <c r="D18" i="2"/>
  <c r="C18" i="2"/>
  <c r="B18" i="2"/>
  <c r="K17" i="2"/>
  <c r="K18" i="2" s="1"/>
  <c r="J14" i="2"/>
  <c r="I14" i="2"/>
  <c r="H14" i="2"/>
  <c r="G14" i="2"/>
  <c r="A14" i="2" s="1"/>
  <c r="F14" i="2"/>
  <c r="D14" i="2"/>
  <c r="C14" i="2"/>
  <c r="H14" i="3" l="1"/>
  <c r="E14" i="2"/>
  <c r="B14" i="2" s="1"/>
</calcChain>
</file>

<file path=xl/sharedStrings.xml><?xml version="1.0" encoding="utf-8"?>
<sst xmlns="http://schemas.openxmlformats.org/spreadsheetml/2006/main" count="110" uniqueCount="65">
  <si>
    <t>项目编号</t>
  </si>
  <si>
    <t>PROJ-2024-001</t>
  </si>
  <si>
    <t>项目名称</t>
  </si>
  <si>
    <t>示例工程项目</t>
  </si>
  <si>
    <t>技术要求</t>
  </si>
  <si>
    <t>请填写技术要求（可选）</t>
  </si>
  <si>
    <t>创建人</t>
  </si>
  <si>
    <t>创建时间</t>
  </si>
  <si>
    <t>配合比名称</t>
  </si>
  <si>
    <t>配合比类型</t>
  </si>
  <si>
    <t>HPC</t>
  </si>
  <si>
    <t>admin</t>
  </si>
  <si>
    <t>其他</t>
  </si>
  <si>
    <t>水泥</t>
  </si>
  <si>
    <t>粉煤灰</t>
  </si>
  <si>
    <t>矿粉</t>
  </si>
  <si>
    <t>微珠</t>
  </si>
  <si>
    <t>硅灰</t>
  </si>
  <si>
    <t>粗骨料</t>
  </si>
  <si>
    <t>细骨料</t>
  </si>
  <si>
    <t>胶材总量</t>
  </si>
  <si>
    <t>用量</t>
  </si>
  <si>
    <t>水</t>
  </si>
  <si>
    <t>外加剂</t>
  </si>
  <si>
    <t>合计</t>
  </si>
  <si>
    <t>UHPC</t>
  </si>
  <si>
    <t>粒径/μm</t>
  </si>
  <si>
    <t>体系最大粒径</t>
  </si>
  <si>
    <t>粉煤灰峰值粒径</t>
  </si>
  <si>
    <t>钢纤维/%</t>
  </si>
  <si>
    <t>砂胶比</t>
  </si>
  <si>
    <t>钢纤维</t>
  </si>
  <si>
    <r>
      <rPr>
        <b/>
        <sz val="18"/>
        <color rgb="FF1F4E79"/>
        <rFont val="微软雅黑"/>
        <charset val="134"/>
      </rPr>
      <t>混凝土配合比记录</t>
    </r>
    <r>
      <rPr>
        <b/>
        <sz val="18"/>
        <color rgb="FF1F4E79"/>
        <rFont val="Times New Roman"/>
        <family val="1"/>
      </rPr>
      <t xml:space="preserve"> · </t>
    </r>
    <r>
      <rPr>
        <b/>
        <sz val="18"/>
        <color rgb="FF1F4E79"/>
        <rFont val="微软雅黑"/>
        <charset val="134"/>
      </rPr>
      <t>导入模板</t>
    </r>
  </si>
  <si>
    <t>一、配合比信息</t>
  </si>
  <si>
    <r>
      <rPr>
        <sz val="12"/>
        <color theme="1"/>
        <rFont val="Times New Roman"/>
        <family val="1"/>
      </rPr>
      <t>C80</t>
    </r>
    <r>
      <rPr>
        <sz val="12"/>
        <color theme="1"/>
        <rFont val="宋体"/>
        <family val="3"/>
        <charset val="134"/>
      </rPr>
      <t>风电</t>
    </r>
  </si>
  <si>
    <t>2026.6.23</t>
  </si>
  <si>
    <t>二、混凝土性能要求</t>
  </si>
  <si>
    <r>
      <rPr>
        <b/>
        <sz val="12"/>
        <color rgb="FFFFFFFF"/>
        <rFont val="微软雅黑"/>
        <family val="2"/>
        <charset val="134"/>
      </rPr>
      <t>强度等级</t>
    </r>
    <r>
      <rPr>
        <b/>
        <sz val="12"/>
        <color rgb="FFFFFFFF"/>
        <rFont val="Times New Roman"/>
        <family val="1"/>
      </rPr>
      <t>/MPa</t>
    </r>
  </si>
  <si>
    <r>
      <rPr>
        <b/>
        <sz val="12"/>
        <color rgb="FFFFFFFF"/>
        <rFont val="微软雅黑"/>
        <family val="2"/>
        <charset val="134"/>
      </rPr>
      <t>扩展度</t>
    </r>
    <r>
      <rPr>
        <b/>
        <sz val="12"/>
        <color rgb="FFFFFFFF"/>
        <rFont val="Times New Roman"/>
        <family val="1"/>
      </rPr>
      <t>/mm</t>
    </r>
  </si>
  <si>
    <r>
      <rPr>
        <b/>
        <sz val="12"/>
        <color rgb="FFFFFFFF"/>
        <rFont val="微软雅黑"/>
        <family val="2"/>
        <charset val="134"/>
      </rPr>
      <t>坍落度</t>
    </r>
    <r>
      <rPr>
        <b/>
        <sz val="12"/>
        <color rgb="FFFFFFFF"/>
        <rFont val="Times New Roman"/>
        <family val="1"/>
      </rPr>
      <t>/mm</t>
    </r>
  </si>
  <si>
    <t>三、原材料性能</t>
  </si>
  <si>
    <r>
      <rPr>
        <b/>
        <sz val="12"/>
        <color rgb="FFFFFFFF"/>
        <rFont val="微软雅黑"/>
        <family val="2"/>
        <charset val="134"/>
      </rPr>
      <t>胶材</t>
    </r>
    <r>
      <rPr>
        <b/>
        <sz val="12"/>
        <color rgb="FFFFFFFF"/>
        <rFont val="Times New Roman"/>
        <family val="1"/>
      </rPr>
      <t>28d</t>
    </r>
    <r>
      <rPr>
        <b/>
        <sz val="12"/>
        <color rgb="FFFFFFFF"/>
        <rFont val="微软雅黑"/>
        <family val="2"/>
        <charset val="134"/>
      </rPr>
      <t>强度</t>
    </r>
    <r>
      <rPr>
        <b/>
        <sz val="12"/>
        <color rgb="FFFFFFFF"/>
        <rFont val="Times New Roman"/>
        <family val="1"/>
      </rPr>
      <t>/MPa</t>
    </r>
  </si>
  <si>
    <r>
      <rPr>
        <b/>
        <sz val="12"/>
        <color rgb="FFFFFFFF"/>
        <rFont val="微软雅黑"/>
        <family val="2"/>
        <charset val="134"/>
      </rPr>
      <t>表观密度</t>
    </r>
    <r>
      <rPr>
        <b/>
        <sz val="12"/>
        <color rgb="FFFFFFFF"/>
        <rFont val="Times New Roman"/>
        <family val="1"/>
      </rPr>
      <t>/kg/m³</t>
    </r>
  </si>
  <si>
    <r>
      <rPr>
        <b/>
        <sz val="12"/>
        <color rgb="FFFFFFFF"/>
        <rFont val="微软雅黑"/>
        <family val="2"/>
        <charset val="134"/>
      </rPr>
      <t>粗骨料最大粒径</t>
    </r>
    <r>
      <rPr>
        <b/>
        <sz val="12"/>
        <color rgb="FFFFFFFF"/>
        <rFont val="Times New Roman"/>
        <family val="1"/>
      </rPr>
      <t>/mm</t>
    </r>
  </si>
  <si>
    <t>四、配合比关键参数</t>
  </si>
  <si>
    <r>
      <rPr>
        <b/>
        <sz val="12"/>
        <color theme="0"/>
        <rFont val="微软雅黑"/>
        <family val="2"/>
        <charset val="134"/>
      </rPr>
      <t>水胶比</t>
    </r>
    <r>
      <rPr>
        <b/>
        <sz val="12"/>
        <color theme="0"/>
        <rFont val="Times New Roman"/>
        <family val="1"/>
      </rPr>
      <t xml:space="preserve"> W/B</t>
    </r>
  </si>
  <si>
    <r>
      <rPr>
        <b/>
        <sz val="12"/>
        <color theme="0"/>
        <rFont val="宋体"/>
        <family val="3"/>
        <charset val="134"/>
      </rPr>
      <t>水泥</t>
    </r>
    <r>
      <rPr>
        <b/>
        <sz val="12"/>
        <color theme="0"/>
        <rFont val="Times New Roman"/>
        <family val="1"/>
      </rPr>
      <t>/%</t>
    </r>
  </si>
  <si>
    <r>
      <rPr>
        <b/>
        <sz val="12"/>
        <color theme="0"/>
        <rFont val="宋体"/>
        <family val="3"/>
        <charset val="134"/>
      </rPr>
      <t>粉煤灰</t>
    </r>
    <r>
      <rPr>
        <b/>
        <sz val="12"/>
        <color theme="0"/>
        <rFont val="Times New Roman"/>
        <family val="1"/>
      </rPr>
      <t>/%</t>
    </r>
  </si>
  <si>
    <r>
      <rPr>
        <b/>
        <sz val="12"/>
        <color theme="0"/>
        <rFont val="宋体"/>
        <family val="3"/>
        <charset val="134"/>
      </rPr>
      <t>矿粉</t>
    </r>
    <r>
      <rPr>
        <b/>
        <sz val="12"/>
        <color theme="0"/>
        <rFont val="Times New Roman"/>
        <family val="1"/>
      </rPr>
      <t>/%</t>
    </r>
  </si>
  <si>
    <r>
      <rPr>
        <b/>
        <sz val="12"/>
        <color theme="0"/>
        <rFont val="宋体"/>
        <family val="3"/>
        <charset val="134"/>
      </rPr>
      <t>微珠</t>
    </r>
    <r>
      <rPr>
        <b/>
        <sz val="12"/>
        <color theme="0"/>
        <rFont val="Times New Roman"/>
        <family val="1"/>
      </rPr>
      <t>/%</t>
    </r>
  </si>
  <si>
    <r>
      <rPr>
        <b/>
        <sz val="12"/>
        <color theme="0"/>
        <rFont val="宋体"/>
        <family val="3"/>
        <charset val="134"/>
      </rPr>
      <t>硅灰</t>
    </r>
    <r>
      <rPr>
        <b/>
        <sz val="12"/>
        <color theme="0"/>
        <rFont val="Times New Roman"/>
        <family val="1"/>
      </rPr>
      <t>/%</t>
    </r>
  </si>
  <si>
    <r>
      <rPr>
        <b/>
        <sz val="12"/>
        <color theme="0"/>
        <rFont val="微软雅黑"/>
        <family val="2"/>
        <charset val="134"/>
      </rPr>
      <t>砂率</t>
    </r>
    <r>
      <rPr>
        <b/>
        <sz val="12"/>
        <color theme="0"/>
        <rFont val="Times New Roman"/>
        <family val="1"/>
      </rPr>
      <t>/%</t>
    </r>
  </si>
  <si>
    <r>
      <rPr>
        <b/>
        <sz val="12"/>
        <color theme="0"/>
        <rFont val="微软雅黑"/>
        <family val="2"/>
        <charset val="134"/>
      </rPr>
      <t>粗骨料体积</t>
    </r>
    <r>
      <rPr>
        <b/>
        <sz val="12"/>
        <color theme="0"/>
        <rFont val="Times New Roman"/>
        <family val="1"/>
      </rPr>
      <t xml:space="preserve"> /m³</t>
    </r>
  </si>
  <si>
    <r>
      <rPr>
        <b/>
        <sz val="12"/>
        <color theme="0"/>
        <rFont val="微软雅黑"/>
        <family val="2"/>
        <charset val="134"/>
      </rPr>
      <t>外加剂</t>
    </r>
    <r>
      <rPr>
        <b/>
        <sz val="12"/>
        <color theme="0"/>
        <rFont val="Times New Roman"/>
        <family val="1"/>
      </rPr>
      <t>/%</t>
    </r>
  </si>
  <si>
    <r>
      <rPr>
        <b/>
        <sz val="12"/>
        <color theme="0"/>
        <rFont val="微软雅黑"/>
        <family val="2"/>
        <charset val="134"/>
      </rPr>
      <t>含气量</t>
    </r>
    <r>
      <rPr>
        <sz val="12"/>
        <color theme="0"/>
        <rFont val="Times New Roman"/>
        <family val="1"/>
      </rPr>
      <t>/m3</t>
    </r>
  </si>
  <si>
    <t>五、实验室配合比</t>
  </si>
  <si>
    <t>每方用量(kg/m3)</t>
  </si>
  <si>
    <r>
      <t xml:space="preserve">注：
</t>
    </r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宋体"/>
        <family val="3"/>
        <charset val="134"/>
      </rPr>
      <t>）绿色方框需输入数值，黄色方框为计算值，无需输入；</t>
    </r>
    <r>
      <rPr>
        <b/>
        <sz val="11"/>
        <color theme="1"/>
        <rFont val="Times New Roman"/>
        <family val="1"/>
      </rPr>
      <t xml:space="preserve">
2</t>
    </r>
    <r>
      <rPr>
        <b/>
        <sz val="11"/>
        <color theme="1"/>
        <rFont val="宋体"/>
        <family val="3"/>
        <charset val="134"/>
      </rPr>
      <t>）配合比类型：高性能混凝土为</t>
    </r>
    <r>
      <rPr>
        <b/>
        <sz val="11"/>
        <color theme="1"/>
        <rFont val="Times New Roman"/>
        <family val="1"/>
      </rPr>
      <t>HPC</t>
    </r>
    <r>
      <rPr>
        <b/>
        <sz val="11"/>
        <color theme="1"/>
        <rFont val="宋体"/>
        <family val="3"/>
        <charset val="134"/>
      </rPr>
      <t>；超高性能混凝土为</t>
    </r>
    <r>
      <rPr>
        <b/>
        <sz val="11"/>
        <color theme="1"/>
        <rFont val="Times New Roman"/>
        <family val="1"/>
      </rPr>
      <t>UHPC</t>
    </r>
    <r>
      <rPr>
        <b/>
        <sz val="11"/>
        <color theme="1"/>
        <rFont val="宋体"/>
        <family val="3"/>
        <charset val="134"/>
      </rPr>
      <t>；</t>
    </r>
    <r>
      <rPr>
        <b/>
        <sz val="11"/>
        <color theme="1"/>
        <rFont val="Times New Roman"/>
        <family val="1"/>
      </rPr>
      <t xml:space="preserve">
3</t>
    </r>
    <r>
      <rPr>
        <b/>
        <sz val="11"/>
        <color theme="1"/>
        <rFont val="宋体"/>
        <family val="3"/>
        <charset val="134"/>
      </rPr>
      <t>）扩展度和坍落度填写具体数值或范围的平均值；</t>
    </r>
    <r>
      <rPr>
        <b/>
        <sz val="11"/>
        <color theme="1"/>
        <rFont val="Times New Roman"/>
        <family val="1"/>
      </rPr>
      <t xml:space="preserve">
4</t>
    </r>
    <r>
      <rPr>
        <b/>
        <sz val="11"/>
        <color theme="1"/>
        <rFont val="宋体"/>
        <family val="3"/>
        <charset val="134"/>
      </rPr>
      <t>）胶材</t>
    </r>
    <r>
      <rPr>
        <b/>
        <sz val="11"/>
        <color theme="1"/>
        <rFont val="Times New Roman"/>
        <family val="1"/>
      </rPr>
      <t>28d</t>
    </r>
    <r>
      <rPr>
        <b/>
        <sz val="11"/>
        <color theme="1"/>
        <rFont val="宋体"/>
        <family val="3"/>
        <charset val="134"/>
      </rPr>
      <t>强度为本胶材组成制备标准胶砂试样的标养</t>
    </r>
    <r>
      <rPr>
        <b/>
        <sz val="11"/>
        <color theme="1"/>
        <rFont val="Times New Roman"/>
        <family val="1"/>
      </rPr>
      <t>28d</t>
    </r>
    <r>
      <rPr>
        <b/>
        <sz val="11"/>
        <color theme="1"/>
        <rFont val="宋体"/>
        <family val="3"/>
        <charset val="134"/>
      </rPr>
      <t>抗压强度；无实测值时，可根据水泥等级及其富余系数、各掺合料强度影响系数等进行估算；</t>
    </r>
    <r>
      <rPr>
        <b/>
        <sz val="11"/>
        <color theme="1"/>
        <rFont val="Times New Roman"/>
        <family val="1"/>
      </rPr>
      <t xml:space="preserve">
5</t>
    </r>
    <r>
      <rPr>
        <b/>
        <sz val="11"/>
        <color theme="1"/>
        <rFont val="宋体"/>
        <family val="3"/>
        <charset val="134"/>
      </rPr>
      <t>）各原材料表观密度、含气量有实测值时填写实测值；无实测值可参考软件中的推荐值；</t>
    </r>
    <r>
      <rPr>
        <b/>
        <sz val="11"/>
        <color theme="1"/>
        <rFont val="Times New Roman"/>
        <family val="1"/>
      </rPr>
      <t xml:space="preserve">
6</t>
    </r>
    <r>
      <rPr>
        <b/>
        <sz val="11"/>
        <color theme="1"/>
        <rFont val="宋体"/>
        <family val="3"/>
        <charset val="134"/>
      </rPr>
      <t>）粗骨料最大粒径填写：</t>
    </r>
    <r>
      <rPr>
        <b/>
        <sz val="11"/>
        <color theme="1"/>
        <rFont val="Times New Roman"/>
        <family val="1"/>
      </rPr>
      <t>16</t>
    </r>
    <r>
      <rPr>
        <b/>
        <sz val="11"/>
        <color theme="1"/>
        <rFont val="宋体"/>
        <family val="3"/>
        <charset val="134"/>
      </rPr>
      <t>、</t>
    </r>
    <r>
      <rPr>
        <b/>
        <sz val="11"/>
        <color theme="1"/>
        <rFont val="Times New Roman"/>
        <family val="1"/>
      </rPr>
      <t>20</t>
    </r>
    <r>
      <rPr>
        <b/>
        <sz val="11"/>
        <color theme="1"/>
        <rFont val="宋体"/>
        <family val="3"/>
        <charset val="134"/>
      </rPr>
      <t>或</t>
    </r>
    <r>
      <rPr>
        <b/>
        <sz val="11"/>
        <color theme="1"/>
        <rFont val="Times New Roman"/>
        <family val="1"/>
      </rPr>
      <t>25</t>
    </r>
    <r>
      <rPr>
        <b/>
        <sz val="11"/>
        <color theme="1"/>
        <rFont val="宋体"/>
        <family val="3"/>
        <charset val="134"/>
      </rPr>
      <t>；
7）实验室配合比第三行为试拌体积下的用量，填写试拌体积，单位为L；
8）不涉及的方框，不用填写任何内容，空着即可。</t>
    </r>
  </si>
  <si>
    <r>
      <rPr>
        <b/>
        <sz val="18"/>
        <color rgb="FF1F4E79"/>
        <rFont val="微软雅黑"/>
        <family val="2"/>
        <charset val="134"/>
      </rPr>
      <t>混凝土配合比记录</t>
    </r>
    <r>
      <rPr>
        <b/>
        <sz val="18"/>
        <color rgb="FF1F4E79"/>
        <rFont val="Times New Roman"/>
        <family val="1"/>
      </rPr>
      <t xml:space="preserve"> · </t>
    </r>
    <r>
      <rPr>
        <b/>
        <sz val="18"/>
        <color rgb="FF1F4E79"/>
        <rFont val="微软雅黑"/>
        <family val="2"/>
        <charset val="134"/>
      </rPr>
      <t>导入模板</t>
    </r>
  </si>
  <si>
    <r>
      <rPr>
        <sz val="12"/>
        <color theme="1"/>
        <rFont val="Times New Roman"/>
        <family val="1"/>
      </rPr>
      <t>C130</t>
    </r>
    <r>
      <rPr>
        <sz val="12"/>
        <color theme="1"/>
        <rFont val="宋体"/>
        <family val="3"/>
        <charset val="134"/>
      </rPr>
      <t>风电</t>
    </r>
  </si>
  <si>
    <t>2026.6.24</t>
  </si>
  <si>
    <t>抗拉强度等级/MPa</t>
  </si>
  <si>
    <t>UT05</t>
  </si>
  <si>
    <t xml:space="preserve">微珠峰值粒径 </t>
  </si>
  <si>
    <r>
      <rPr>
        <b/>
        <sz val="11"/>
        <color theme="1"/>
        <rFont val="宋体"/>
        <family val="3"/>
        <charset val="134"/>
      </rPr>
      <t>注：</t>
    </r>
    <r>
      <rPr>
        <b/>
        <sz val="11"/>
        <color theme="1"/>
        <rFont val="Times New Roman"/>
        <family val="1"/>
      </rPr>
      <t xml:space="preserve">
1</t>
    </r>
    <r>
      <rPr>
        <b/>
        <sz val="11"/>
        <color theme="1"/>
        <rFont val="宋体"/>
        <family val="3"/>
        <charset val="134"/>
      </rPr>
      <t>）绿色方框需输入数值，黄色方框为计算值，无需输入；</t>
    </r>
    <r>
      <rPr>
        <b/>
        <sz val="11"/>
        <color theme="1"/>
        <rFont val="Times New Roman"/>
        <family val="1"/>
      </rPr>
      <t xml:space="preserve">
2</t>
    </r>
    <r>
      <rPr>
        <b/>
        <sz val="11"/>
        <color theme="1"/>
        <rFont val="宋体"/>
        <family val="3"/>
        <charset val="134"/>
      </rPr>
      <t>）配合比类型：高性能混凝土为</t>
    </r>
    <r>
      <rPr>
        <b/>
        <sz val="11"/>
        <color theme="1"/>
        <rFont val="Times New Roman"/>
        <family val="1"/>
      </rPr>
      <t>HPC</t>
    </r>
    <r>
      <rPr>
        <b/>
        <sz val="11"/>
        <color theme="1"/>
        <rFont val="宋体"/>
        <family val="3"/>
        <charset val="134"/>
      </rPr>
      <t>；超高性能混凝土为</t>
    </r>
    <r>
      <rPr>
        <b/>
        <sz val="11"/>
        <color theme="1"/>
        <rFont val="Times New Roman"/>
        <family val="1"/>
      </rPr>
      <t>UHPC</t>
    </r>
    <r>
      <rPr>
        <b/>
        <sz val="11"/>
        <color theme="1"/>
        <rFont val="宋体"/>
        <family val="3"/>
        <charset val="134"/>
      </rPr>
      <t>；</t>
    </r>
    <r>
      <rPr>
        <b/>
        <sz val="11"/>
        <color theme="1"/>
        <rFont val="Times New Roman"/>
        <family val="1"/>
      </rPr>
      <t xml:space="preserve">
3</t>
    </r>
    <r>
      <rPr>
        <b/>
        <sz val="11"/>
        <color theme="1"/>
        <rFont val="宋体"/>
        <family val="3"/>
        <charset val="134"/>
      </rPr>
      <t>）抗拉强度等级，填写</t>
    </r>
    <r>
      <rPr>
        <b/>
        <sz val="11"/>
        <color theme="1"/>
        <rFont val="Times New Roman"/>
        <family val="1"/>
      </rPr>
      <t>UT05</t>
    </r>
    <r>
      <rPr>
        <b/>
        <sz val="11"/>
        <color theme="1"/>
        <rFont val="宋体"/>
        <family val="3"/>
        <charset val="134"/>
      </rPr>
      <t>或</t>
    </r>
    <r>
      <rPr>
        <b/>
        <sz val="11"/>
        <color theme="1"/>
        <rFont val="Times New Roman"/>
        <family val="1"/>
      </rPr>
      <t>UT07</t>
    </r>
    <r>
      <rPr>
        <b/>
        <sz val="11"/>
        <color theme="1"/>
        <rFont val="宋体"/>
        <family val="3"/>
        <charset val="134"/>
      </rPr>
      <t>；</t>
    </r>
    <r>
      <rPr>
        <b/>
        <sz val="11"/>
        <color theme="1"/>
        <rFont val="Times New Roman"/>
        <family val="1"/>
      </rPr>
      <t xml:space="preserve">
4</t>
    </r>
    <r>
      <rPr>
        <b/>
        <sz val="11"/>
        <color theme="1"/>
        <rFont val="宋体"/>
        <family val="3"/>
        <charset val="134"/>
      </rPr>
      <t>）扩展度和抗拉强度填写具体数值或范围的平均值，不写范围；</t>
    </r>
    <r>
      <rPr>
        <b/>
        <sz val="11"/>
        <color theme="1"/>
        <rFont val="Times New Roman"/>
        <family val="1"/>
      </rPr>
      <t xml:space="preserve">
5</t>
    </r>
    <r>
      <rPr>
        <b/>
        <sz val="11"/>
        <color theme="1"/>
        <rFont val="宋体"/>
        <family val="3"/>
        <charset val="134"/>
      </rPr>
      <t>）各原材料表观密度有实测值时填写实测值；无实测值可参考软件中的推荐值；</t>
    </r>
    <r>
      <rPr>
        <b/>
        <sz val="11"/>
        <color theme="1"/>
        <rFont val="Times New Roman"/>
        <family val="1"/>
      </rPr>
      <t xml:space="preserve">
6</t>
    </r>
    <r>
      <rPr>
        <b/>
        <sz val="11"/>
        <color theme="1"/>
        <rFont val="宋体"/>
        <family val="3"/>
        <charset val="134"/>
      </rPr>
      <t>）粒径对应的三个参数宜采用实测值；</t>
    </r>
    <r>
      <rPr>
        <b/>
        <sz val="11"/>
        <color theme="1"/>
        <rFont val="Times New Roman"/>
        <family val="1"/>
      </rPr>
      <t xml:space="preserve">
7</t>
    </r>
    <r>
      <rPr>
        <b/>
        <sz val="11"/>
        <color theme="1"/>
        <rFont val="宋体"/>
        <family val="3"/>
        <charset val="134"/>
      </rPr>
      <t>）实验室配合比第三行为试拌体积下的用量，填写试拌体积，单位为</t>
    </r>
    <r>
      <rPr>
        <b/>
        <sz val="11"/>
        <color theme="1"/>
        <rFont val="Times New Roman"/>
        <family val="1"/>
      </rPr>
      <t>L</t>
    </r>
    <r>
      <rPr>
        <b/>
        <sz val="11"/>
        <color theme="1"/>
        <rFont val="宋体"/>
        <family val="3"/>
        <charset val="134"/>
      </rPr>
      <t>；</t>
    </r>
    <r>
      <rPr>
        <b/>
        <sz val="11"/>
        <color theme="1"/>
        <rFont val="Times New Roman"/>
        <family val="1"/>
      </rPr>
      <t xml:space="preserve">
8</t>
    </r>
    <r>
      <rPr>
        <b/>
        <sz val="11"/>
        <color theme="1"/>
        <rFont val="宋体"/>
        <family val="3"/>
        <charset val="134"/>
      </rPr>
      <t>）不涉及的方框，不用填写任何内容，空着即可。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</si>
</sst>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 "/>
  </numFmts>
  <fonts count="25">
    <font>
      <sz val="11"/>
      <color theme="1"/>
      <name val="宋体"/>
      <family val="2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1F4E79"/>
      <name val="微软雅黑"/>
      <family val="2"/>
      <charset val="134"/>
    </font>
    <font>
      <b/>
      <sz val="18"/>
      <color rgb="FF1F4E79"/>
      <name val="微软雅黑"/>
      <charset val="134"/>
    </font>
    <font>
      <b/>
      <sz val="18"/>
      <color rgb="FF1F4E79"/>
      <name val="Times New Roman"/>
      <family val="1"/>
    </font>
    <font>
      <sz val="9"/>
      <name val="宋体"/>
      <family val="3"/>
      <charset val="134"/>
      <scheme val="minor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rgb="FF1F4E79"/>
      <name val="Times New Roman"/>
      <family val="1"/>
    </font>
    <font>
      <b/>
      <sz val="12"/>
      <color rgb="FFFFFFFF"/>
      <name val="微软雅黑"/>
      <family val="2"/>
      <charset val="134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name val="Times New Roman"/>
      <family val="1"/>
    </font>
    <font>
      <b/>
      <sz val="12"/>
      <color theme="0"/>
      <name val="微软雅黑"/>
      <family val="2"/>
      <charset val="134"/>
    </font>
    <font>
      <b/>
      <sz val="12"/>
      <color theme="0"/>
      <name val="Times New Roman"/>
      <family val="1"/>
    </font>
    <font>
      <b/>
      <sz val="12"/>
      <color theme="0"/>
      <name val="宋体"/>
      <family val="3"/>
      <charset val="134"/>
    </font>
    <font>
      <sz val="12"/>
      <color theme="0"/>
      <name val="Times New Roman"/>
      <family val="1"/>
    </font>
    <font>
      <b/>
      <sz val="12"/>
      <color rgb="FFFFFFFF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2"/>
      <name val="微软雅黑"/>
      <family val="2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8"/>
      <color rgb="FF1F4E7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6" fontId="12" fillId="5" borderId="1" xfId="0" applyNumberFormat="1" applyFont="1" applyFill="1" applyBorder="1" applyAlignment="1">
      <alignment horizontal="center"/>
    </xf>
    <xf numFmtId="177" fontId="12" fillId="5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78" fontId="12" fillId="5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8" fontId="12" fillId="5" borderId="1" xfId="0" applyNumberFormat="1" applyFont="1" applyFill="1" applyBorder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10" fillId="3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B5"/>
  <sheetViews>
    <sheetView workbookViewId="0">
      <selection activeCell="B16" sqref="B16"/>
    </sheetView>
  </sheetViews>
  <sheetFormatPr defaultRowHeight="13.5"/>
  <cols>
    <col min="1" max="1" width="20" customWidth="1"/>
    <col min="2" max="2" width="40" customWidth="1"/>
  </cols>
  <sheetData>
    <row r="1" spans="1:2" ht="16.5">
      <c r="A1" s="1" t="s">
        <v>0</v>
      </c>
      <c r="B1" s="2" t="s">
        <v>1</v>
      </c>
    </row>
    <row r="2" spans="1:2" ht="16.5">
      <c r="A2" s="1" t="s">
        <v>2</v>
      </c>
      <c r="B2" s="2" t="s">
        <v>3</v>
      </c>
    </row>
    <row r="3" spans="1:2" ht="16.5">
      <c r="A3" s="1" t="s">
        <v>4</v>
      </c>
      <c r="B3" s="2" t="s">
        <v>5</v>
      </c>
    </row>
    <row r="4" spans="1:2" ht="16.5">
      <c r="A4" s="1" t="s">
        <v>6</v>
      </c>
      <c r="B4" s="2"/>
    </row>
    <row r="5" spans="1:2" ht="16.5">
      <c r="A5" s="1" t="s">
        <v>7</v>
      </c>
      <c r="B5" s="2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K30"/>
  <sheetViews>
    <sheetView workbookViewId="0">
      <selection activeCell="O26" sqref="O26"/>
    </sheetView>
  </sheetViews>
  <sheetFormatPr defaultColWidth="9" defaultRowHeight="15"/>
  <cols>
    <col min="1" max="1" width="15.625" style="3" customWidth="1"/>
    <col min="2" max="8" width="12" style="3" customWidth="1"/>
    <col min="9" max="9" width="14.875" style="3" customWidth="1"/>
    <col min="10" max="11" width="12" style="3" customWidth="1"/>
    <col min="12" max="16384" width="9" style="3"/>
  </cols>
  <sheetData>
    <row r="1" spans="1:11" ht="21.75" customHeight="1">
      <c r="A1" s="44" t="s">
        <v>32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3.5" customHeight="1">
      <c r="A2" s="20" t="s">
        <v>33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.75">
      <c r="A3" s="30" t="s">
        <v>8</v>
      </c>
      <c r="B3" s="35"/>
      <c r="C3" s="36"/>
      <c r="D3" s="30" t="s">
        <v>9</v>
      </c>
      <c r="E3" s="35"/>
      <c r="F3" s="36"/>
      <c r="G3" s="30" t="s">
        <v>6</v>
      </c>
      <c r="H3" s="35"/>
      <c r="I3" s="36"/>
      <c r="J3" s="30" t="s">
        <v>7</v>
      </c>
      <c r="K3" s="36"/>
    </row>
    <row r="4" spans="1:11" ht="15.75">
      <c r="A4" s="37" t="s">
        <v>34</v>
      </c>
      <c r="B4" s="38"/>
      <c r="C4" s="39"/>
      <c r="D4" s="37" t="s">
        <v>10</v>
      </c>
      <c r="E4" s="38"/>
      <c r="F4" s="38"/>
      <c r="G4" s="37" t="s">
        <v>11</v>
      </c>
      <c r="H4" s="38"/>
      <c r="I4" s="38"/>
      <c r="J4" s="37" t="s">
        <v>35</v>
      </c>
      <c r="K4" s="39"/>
    </row>
    <row r="5" spans="1:11" ht="18.75">
      <c r="A5" s="20" t="s">
        <v>36</v>
      </c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13.5" customHeight="1">
      <c r="A6" s="30" t="s">
        <v>37</v>
      </c>
      <c r="B6" s="35"/>
      <c r="C6" s="36"/>
      <c r="D6" s="30" t="s">
        <v>38</v>
      </c>
      <c r="E6" s="35"/>
      <c r="F6" s="36"/>
      <c r="G6" s="30" t="s">
        <v>39</v>
      </c>
      <c r="H6" s="35"/>
      <c r="I6" s="36"/>
      <c r="J6" s="30" t="s">
        <v>12</v>
      </c>
      <c r="K6" s="36"/>
    </row>
    <row r="7" spans="1:11" ht="15.75">
      <c r="A7" s="40">
        <v>80</v>
      </c>
      <c r="B7" s="41"/>
      <c r="C7" s="41"/>
      <c r="D7" s="37">
        <v>650</v>
      </c>
      <c r="E7" s="38"/>
      <c r="F7" s="38"/>
      <c r="G7" s="37"/>
      <c r="H7" s="38"/>
      <c r="I7" s="38"/>
      <c r="J7" s="37"/>
      <c r="K7" s="39"/>
    </row>
    <row r="8" spans="1:11" ht="18.75">
      <c r="A8" s="20" t="s">
        <v>40</v>
      </c>
      <c r="B8" s="21"/>
      <c r="C8" s="21"/>
      <c r="D8" s="21"/>
      <c r="E8" s="21"/>
      <c r="F8" s="21"/>
      <c r="G8" s="21"/>
      <c r="H8" s="21"/>
      <c r="I8" s="21"/>
      <c r="J8" s="21"/>
      <c r="K8" s="22"/>
    </row>
    <row r="9" spans="1:11" ht="15.75">
      <c r="A9" s="45" t="s">
        <v>41</v>
      </c>
      <c r="B9" s="46"/>
      <c r="C9" s="30" t="s">
        <v>42</v>
      </c>
      <c r="D9" s="35"/>
      <c r="E9" s="35"/>
      <c r="F9" s="35"/>
      <c r="G9" s="35"/>
      <c r="H9" s="35"/>
      <c r="I9" s="36"/>
      <c r="J9" s="45" t="s">
        <v>43</v>
      </c>
      <c r="K9" s="46"/>
    </row>
    <row r="10" spans="1:11" ht="13.5" customHeight="1">
      <c r="A10" s="47"/>
      <c r="B10" s="48"/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7"/>
      <c r="K10" s="48"/>
    </row>
    <row r="11" spans="1:11" ht="16.5" customHeight="1">
      <c r="A11" s="49">
        <v>50</v>
      </c>
      <c r="B11" s="50"/>
      <c r="C11" s="5">
        <v>3100</v>
      </c>
      <c r="D11" s="5">
        <v>2200</v>
      </c>
      <c r="E11" s="5">
        <v>2900</v>
      </c>
      <c r="F11" s="5">
        <v>2100</v>
      </c>
      <c r="G11" s="5">
        <v>2400</v>
      </c>
      <c r="H11" s="5">
        <v>2700</v>
      </c>
      <c r="I11" s="5">
        <v>2650</v>
      </c>
      <c r="J11" s="37">
        <v>20</v>
      </c>
      <c r="K11" s="39"/>
    </row>
    <row r="12" spans="1:11" ht="18.75">
      <c r="A12" s="20" t="s">
        <v>44</v>
      </c>
      <c r="B12" s="21"/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18">
      <c r="A13" s="6" t="s">
        <v>45</v>
      </c>
      <c r="B13" s="7" t="s">
        <v>46</v>
      </c>
      <c r="C13" s="7" t="s">
        <v>47</v>
      </c>
      <c r="D13" s="7" t="s">
        <v>48</v>
      </c>
      <c r="E13" s="7" t="s">
        <v>49</v>
      </c>
      <c r="F13" s="7" t="s">
        <v>50</v>
      </c>
      <c r="G13" s="7" t="s">
        <v>20</v>
      </c>
      <c r="H13" s="6" t="s">
        <v>51</v>
      </c>
      <c r="I13" s="6" t="s">
        <v>52</v>
      </c>
      <c r="J13" s="6" t="s">
        <v>53</v>
      </c>
      <c r="K13" s="6" t="s">
        <v>54</v>
      </c>
    </row>
    <row r="14" spans="1:11" ht="15.75">
      <c r="A14" s="8">
        <f>I17/G14</f>
        <v>0.25833333333333336</v>
      </c>
      <c r="B14" s="9">
        <f>100-C14-D14-E14-F14</f>
        <v>70</v>
      </c>
      <c r="C14" s="10">
        <f>C17/$G$14*100</f>
        <v>10</v>
      </c>
      <c r="D14" s="10">
        <f>D17/$G$14*100</f>
        <v>0</v>
      </c>
      <c r="E14" s="10">
        <f>E17/$G$14*100</f>
        <v>10</v>
      </c>
      <c r="F14" s="10">
        <f>F17/$G$14*100</f>
        <v>10</v>
      </c>
      <c r="G14" s="11">
        <f>B17+C17+D17+E17+F17</f>
        <v>600</v>
      </c>
      <c r="H14" s="12">
        <f>H17/(H17+G17)*100</f>
        <v>45.562130177514796</v>
      </c>
      <c r="I14" s="8">
        <f>G17/H11</f>
        <v>0.34074074074074073</v>
      </c>
      <c r="J14" s="8">
        <f>J17/G14*100</f>
        <v>1.5</v>
      </c>
      <c r="K14" s="13">
        <v>0.01</v>
      </c>
    </row>
    <row r="15" spans="1:11" ht="13.5" customHeight="1">
      <c r="A15" s="20" t="s">
        <v>55</v>
      </c>
      <c r="B15" s="21"/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18">
      <c r="A16" s="14" t="s">
        <v>21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  <c r="H16" s="4" t="s">
        <v>19</v>
      </c>
      <c r="I16" s="4" t="s">
        <v>22</v>
      </c>
      <c r="J16" s="4" t="s">
        <v>23</v>
      </c>
      <c r="K16" s="4" t="s">
        <v>24</v>
      </c>
    </row>
    <row r="17" spans="1:11" ht="15.75">
      <c r="A17" s="15" t="s">
        <v>56</v>
      </c>
      <c r="B17" s="5">
        <v>420</v>
      </c>
      <c r="C17" s="5">
        <v>60</v>
      </c>
      <c r="D17" s="5">
        <v>0</v>
      </c>
      <c r="E17" s="5">
        <v>60</v>
      </c>
      <c r="F17" s="5">
        <v>60</v>
      </c>
      <c r="G17" s="5">
        <v>920</v>
      </c>
      <c r="H17" s="5">
        <v>770</v>
      </c>
      <c r="I17" s="5">
        <v>155</v>
      </c>
      <c r="J17" s="5">
        <v>9</v>
      </c>
      <c r="K17" s="16">
        <f>SUM(B17:J17)</f>
        <v>2454</v>
      </c>
    </row>
    <row r="18" spans="1:11" ht="17.25">
      <c r="A18" s="17">
        <v>20</v>
      </c>
      <c r="B18" s="16">
        <f>B17*$A$18/1000</f>
        <v>8.4</v>
      </c>
      <c r="C18" s="16">
        <f t="shared" ref="C18:K18" si="0">C17*$A$18/1000</f>
        <v>1.2</v>
      </c>
      <c r="D18" s="16">
        <f t="shared" si="0"/>
        <v>0</v>
      </c>
      <c r="E18" s="16">
        <f t="shared" si="0"/>
        <v>1.2</v>
      </c>
      <c r="F18" s="16">
        <f t="shared" si="0"/>
        <v>1.2</v>
      </c>
      <c r="G18" s="16">
        <f t="shared" si="0"/>
        <v>18.399999999999999</v>
      </c>
      <c r="H18" s="16">
        <f t="shared" si="0"/>
        <v>15.4</v>
      </c>
      <c r="I18" s="16">
        <f t="shared" si="0"/>
        <v>3.1</v>
      </c>
      <c r="J18" s="16">
        <f t="shared" si="0"/>
        <v>0.18</v>
      </c>
      <c r="K18" s="16">
        <f t="shared" si="0"/>
        <v>49.08</v>
      </c>
    </row>
    <row r="19" spans="1:11" ht="13.5" customHeight="1">
      <c r="A19" s="43" t="s">
        <v>57</v>
      </c>
      <c r="B19" s="24"/>
      <c r="C19" s="24"/>
      <c r="D19" s="24"/>
      <c r="E19" s="24"/>
      <c r="F19" s="24"/>
      <c r="G19" s="24"/>
      <c r="H19" s="24"/>
      <c r="I19" s="24"/>
      <c r="J19" s="24"/>
      <c r="K19" s="25"/>
    </row>
    <row r="20" spans="1:1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7"/>
    </row>
    <row r="22" spans="1:1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1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7"/>
    </row>
    <row r="26" spans="1:1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7"/>
    </row>
    <row r="28" spans="1:11" ht="5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idden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7"/>
    </row>
    <row r="30" spans="1:11" hidden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9"/>
    </row>
  </sheetData>
  <mergeCells count="28">
    <mergeCell ref="A7:C7"/>
    <mergeCell ref="A15:K15"/>
    <mergeCell ref="A2:K2"/>
    <mergeCell ref="D7:F7"/>
    <mergeCell ref="G7:I7"/>
    <mergeCell ref="J7:K7"/>
    <mergeCell ref="A8:K8"/>
    <mergeCell ref="A9:B10"/>
    <mergeCell ref="C9:I9"/>
    <mergeCell ref="J9:K10"/>
    <mergeCell ref="A11:B11"/>
    <mergeCell ref="J11:K11"/>
    <mergeCell ref="A12:K12"/>
    <mergeCell ref="A19:K30"/>
    <mergeCell ref="A1:K1"/>
    <mergeCell ref="A3:C3"/>
    <mergeCell ref="D3:F3"/>
    <mergeCell ref="G3:I3"/>
    <mergeCell ref="J3:K3"/>
    <mergeCell ref="A4:C4"/>
    <mergeCell ref="D4:F4"/>
    <mergeCell ref="G4:I4"/>
    <mergeCell ref="J4:K4"/>
    <mergeCell ref="A5:K5"/>
    <mergeCell ref="A6:C6"/>
    <mergeCell ref="D6:F6"/>
    <mergeCell ref="G6:I6"/>
    <mergeCell ref="J6:K6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K30"/>
  <sheetViews>
    <sheetView tabSelected="1" workbookViewId="0">
      <selection activeCell="O20" sqref="O20"/>
    </sheetView>
  </sheetViews>
  <sheetFormatPr defaultColWidth="9" defaultRowHeight="15"/>
  <cols>
    <col min="1" max="1" width="15.625" style="3" customWidth="1"/>
    <col min="2" max="8" width="12" style="3" customWidth="1"/>
    <col min="9" max="9" width="14.875" style="3" customWidth="1"/>
    <col min="10" max="11" width="12" style="3" customWidth="1"/>
    <col min="12" max="16384" width="9" style="3"/>
  </cols>
  <sheetData>
    <row r="1" spans="1:11" ht="21.75" customHeight="1">
      <c r="A1" s="33" t="s">
        <v>58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3.5" customHeight="1">
      <c r="A2" s="20" t="s">
        <v>33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.75">
      <c r="A3" s="30" t="s">
        <v>8</v>
      </c>
      <c r="B3" s="35"/>
      <c r="C3" s="36"/>
      <c r="D3" s="30" t="s">
        <v>9</v>
      </c>
      <c r="E3" s="35"/>
      <c r="F3" s="36"/>
      <c r="G3" s="30" t="s">
        <v>6</v>
      </c>
      <c r="H3" s="35"/>
      <c r="I3" s="36"/>
      <c r="J3" s="30" t="s">
        <v>7</v>
      </c>
      <c r="K3" s="36"/>
    </row>
    <row r="4" spans="1:11" ht="15.75">
      <c r="A4" s="37" t="s">
        <v>59</v>
      </c>
      <c r="B4" s="38"/>
      <c r="C4" s="39"/>
      <c r="D4" s="37" t="s">
        <v>25</v>
      </c>
      <c r="E4" s="38"/>
      <c r="F4" s="38"/>
      <c r="G4" s="37" t="s">
        <v>11</v>
      </c>
      <c r="H4" s="38"/>
      <c r="I4" s="38"/>
      <c r="J4" s="37" t="s">
        <v>60</v>
      </c>
      <c r="K4" s="39"/>
    </row>
    <row r="5" spans="1:11" ht="18.75">
      <c r="A5" s="20" t="s">
        <v>36</v>
      </c>
      <c r="B5" s="21"/>
      <c r="C5" s="21"/>
      <c r="D5" s="21"/>
      <c r="E5" s="21"/>
      <c r="F5" s="21"/>
      <c r="G5" s="21"/>
      <c r="H5" s="21"/>
      <c r="I5" s="21"/>
      <c r="J5" s="21"/>
      <c r="K5" s="22"/>
    </row>
    <row r="6" spans="1:11" ht="13.5" customHeight="1">
      <c r="A6" s="30" t="s">
        <v>37</v>
      </c>
      <c r="B6" s="35"/>
      <c r="C6" s="36"/>
      <c r="D6" s="30" t="s">
        <v>38</v>
      </c>
      <c r="E6" s="35"/>
      <c r="F6" s="36"/>
      <c r="G6" s="30" t="s">
        <v>61</v>
      </c>
      <c r="H6" s="35"/>
      <c r="I6" s="36"/>
      <c r="J6" s="30" t="s">
        <v>12</v>
      </c>
      <c r="K6" s="36"/>
    </row>
    <row r="7" spans="1:11" ht="15.75">
      <c r="A7" s="40">
        <v>150</v>
      </c>
      <c r="B7" s="41"/>
      <c r="C7" s="41"/>
      <c r="D7" s="37">
        <v>650</v>
      </c>
      <c r="E7" s="38"/>
      <c r="F7" s="38"/>
      <c r="G7" s="37" t="s">
        <v>62</v>
      </c>
      <c r="H7" s="38"/>
      <c r="I7" s="38"/>
      <c r="J7" s="37"/>
      <c r="K7" s="39"/>
    </row>
    <row r="8" spans="1:11" ht="18.75">
      <c r="A8" s="20" t="s">
        <v>40</v>
      </c>
      <c r="B8" s="21"/>
      <c r="C8" s="21"/>
      <c r="D8" s="21"/>
      <c r="E8" s="21"/>
      <c r="F8" s="21"/>
      <c r="G8" s="21"/>
      <c r="H8" s="21"/>
      <c r="I8" s="21"/>
      <c r="J8" s="21"/>
      <c r="K8" s="22"/>
    </row>
    <row r="9" spans="1:11" ht="18">
      <c r="A9" s="42" t="s">
        <v>42</v>
      </c>
      <c r="B9" s="42"/>
      <c r="C9" s="42"/>
      <c r="D9" s="42"/>
      <c r="E9" s="42"/>
      <c r="F9" s="42" t="s">
        <v>26</v>
      </c>
      <c r="G9" s="42"/>
      <c r="H9" s="42"/>
      <c r="I9" s="42"/>
      <c r="J9" s="42"/>
      <c r="K9" s="42"/>
    </row>
    <row r="10" spans="1:11" ht="13.5" customHeight="1">
      <c r="A10" s="4" t="s">
        <v>13</v>
      </c>
      <c r="B10" s="4" t="s">
        <v>14</v>
      </c>
      <c r="C10" s="4" t="s">
        <v>16</v>
      </c>
      <c r="D10" s="4" t="s">
        <v>17</v>
      </c>
      <c r="E10" s="4" t="s">
        <v>19</v>
      </c>
      <c r="F10" s="30" t="s">
        <v>27</v>
      </c>
      <c r="G10" s="31"/>
      <c r="H10" s="30" t="s">
        <v>28</v>
      </c>
      <c r="I10" s="31"/>
      <c r="J10" s="30" t="s">
        <v>63</v>
      </c>
      <c r="K10" s="31"/>
    </row>
    <row r="11" spans="1:11" ht="15.75">
      <c r="A11" s="5">
        <v>3100</v>
      </c>
      <c r="B11" s="5">
        <v>2200</v>
      </c>
      <c r="C11" s="5">
        <v>2100</v>
      </c>
      <c r="D11" s="5">
        <v>2400</v>
      </c>
      <c r="E11" s="5">
        <v>2650</v>
      </c>
      <c r="F11" s="32">
        <v>80</v>
      </c>
      <c r="G11" s="32"/>
      <c r="H11" s="32">
        <v>18</v>
      </c>
      <c r="I11" s="32"/>
      <c r="J11" s="32">
        <v>4</v>
      </c>
      <c r="K11" s="32"/>
    </row>
    <row r="12" spans="1:11" ht="18.75">
      <c r="A12" s="20" t="s">
        <v>44</v>
      </c>
      <c r="B12" s="21"/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18">
      <c r="A13" s="6" t="s">
        <v>45</v>
      </c>
      <c r="B13" s="7" t="s">
        <v>46</v>
      </c>
      <c r="C13" s="7" t="s">
        <v>47</v>
      </c>
      <c r="D13" s="7" t="s">
        <v>49</v>
      </c>
      <c r="E13" s="7" t="s">
        <v>50</v>
      </c>
      <c r="F13" s="7" t="s">
        <v>20</v>
      </c>
      <c r="G13" s="7" t="s">
        <v>29</v>
      </c>
      <c r="H13" s="6" t="s">
        <v>30</v>
      </c>
      <c r="I13" s="6" t="s">
        <v>53</v>
      </c>
      <c r="J13" s="6"/>
      <c r="K13" s="6"/>
    </row>
    <row r="14" spans="1:11" ht="15.75">
      <c r="A14" s="8">
        <f>H17/F14</f>
        <v>0.16</v>
      </c>
      <c r="B14" s="18">
        <f>B17/$F$14*100</f>
        <v>70</v>
      </c>
      <c r="C14" s="18">
        <f>C17/$F$14*100</f>
        <v>10</v>
      </c>
      <c r="D14" s="18">
        <f>D17/$F$14*100</f>
        <v>10</v>
      </c>
      <c r="E14" s="18">
        <f>E17/$F$14*100</f>
        <v>10</v>
      </c>
      <c r="F14" s="11">
        <f>B17+C17+D17+E17</f>
        <v>1000</v>
      </c>
      <c r="G14" s="11">
        <f>G17/78.5</f>
        <v>2</v>
      </c>
      <c r="H14" s="8">
        <f>F17/F14</f>
        <v>1.2</v>
      </c>
      <c r="I14" s="8">
        <f>I17/F14*100</f>
        <v>2.5</v>
      </c>
      <c r="J14" s="19"/>
      <c r="K14" s="13"/>
    </row>
    <row r="15" spans="1:11" ht="13.5" customHeight="1">
      <c r="A15" s="20" t="s">
        <v>55</v>
      </c>
      <c r="B15" s="21"/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18">
      <c r="A16" s="14" t="s">
        <v>21</v>
      </c>
      <c r="B16" s="4" t="s">
        <v>13</v>
      </c>
      <c r="C16" s="4" t="s">
        <v>14</v>
      </c>
      <c r="D16" s="4" t="s">
        <v>16</v>
      </c>
      <c r="E16" s="4" t="s">
        <v>17</v>
      </c>
      <c r="F16" s="4" t="s">
        <v>19</v>
      </c>
      <c r="G16" s="4" t="s">
        <v>31</v>
      </c>
      <c r="H16" s="4" t="s">
        <v>22</v>
      </c>
      <c r="I16" s="4" t="s">
        <v>23</v>
      </c>
      <c r="J16" s="4"/>
      <c r="K16" s="4" t="s">
        <v>24</v>
      </c>
    </row>
    <row r="17" spans="1:11" ht="15.75">
      <c r="A17" s="15" t="s">
        <v>56</v>
      </c>
      <c r="B17" s="5">
        <v>700</v>
      </c>
      <c r="C17" s="5">
        <v>100</v>
      </c>
      <c r="D17" s="5">
        <v>100</v>
      </c>
      <c r="E17" s="5">
        <v>100</v>
      </c>
      <c r="F17" s="5">
        <v>1200</v>
      </c>
      <c r="G17" s="5">
        <v>157</v>
      </c>
      <c r="H17" s="5">
        <v>160</v>
      </c>
      <c r="I17" s="5">
        <v>25</v>
      </c>
      <c r="J17" s="5"/>
      <c r="K17" s="16">
        <f>SUM(B17:J17)</f>
        <v>2542</v>
      </c>
    </row>
    <row r="18" spans="1:11" ht="17.25">
      <c r="A18" s="17">
        <v>20</v>
      </c>
      <c r="B18" s="16">
        <f>B17*$A$18/1000</f>
        <v>14</v>
      </c>
      <c r="C18" s="16">
        <f t="shared" ref="C18:K18" si="0">C17*$A$18/1000</f>
        <v>2</v>
      </c>
      <c r="D18" s="16">
        <f t="shared" si="0"/>
        <v>2</v>
      </c>
      <c r="E18" s="16">
        <f t="shared" si="0"/>
        <v>2</v>
      </c>
      <c r="F18" s="16">
        <f t="shared" si="0"/>
        <v>24</v>
      </c>
      <c r="G18" s="16">
        <f t="shared" si="0"/>
        <v>3.14</v>
      </c>
      <c r="H18" s="16">
        <f t="shared" si="0"/>
        <v>3.2</v>
      </c>
      <c r="I18" s="16">
        <f t="shared" si="0"/>
        <v>0.5</v>
      </c>
      <c r="J18" s="16"/>
      <c r="K18" s="16">
        <f t="shared" si="0"/>
        <v>50.84</v>
      </c>
    </row>
    <row r="19" spans="1:11" ht="13.5" customHeight="1">
      <c r="A19" s="23" t="s">
        <v>64</v>
      </c>
      <c r="B19" s="24"/>
      <c r="C19" s="24"/>
      <c r="D19" s="24"/>
      <c r="E19" s="24"/>
      <c r="F19" s="24"/>
      <c r="G19" s="24"/>
      <c r="H19" s="24"/>
      <c r="I19" s="24"/>
      <c r="J19" s="24"/>
      <c r="K19" s="25"/>
    </row>
    <row r="20" spans="1:1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7"/>
    </row>
    <row r="22" spans="1:1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1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7"/>
    </row>
    <row r="26" spans="1:1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7"/>
    </row>
    <row r="28" spans="1:1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7"/>
    </row>
    <row r="30" spans="1:1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9"/>
    </row>
  </sheetData>
  <mergeCells count="31">
    <mergeCell ref="A8:K8"/>
    <mergeCell ref="A9:E9"/>
    <mergeCell ref="F9:K9"/>
    <mergeCell ref="F10:G10"/>
    <mergeCell ref="H10:I10"/>
    <mergeCell ref="A6:C6"/>
    <mergeCell ref="D6:F6"/>
    <mergeCell ref="G6:I6"/>
    <mergeCell ref="J6:K6"/>
    <mergeCell ref="A7:C7"/>
    <mergeCell ref="D7:F7"/>
    <mergeCell ref="G7:I7"/>
    <mergeCell ref="J7:K7"/>
    <mergeCell ref="A4:C4"/>
    <mergeCell ref="D4:F4"/>
    <mergeCell ref="G4:I4"/>
    <mergeCell ref="J4:K4"/>
    <mergeCell ref="A5:K5"/>
    <mergeCell ref="A1:K1"/>
    <mergeCell ref="A2:K2"/>
    <mergeCell ref="A3:C3"/>
    <mergeCell ref="D3:F3"/>
    <mergeCell ref="G3:I3"/>
    <mergeCell ref="J3:K3"/>
    <mergeCell ref="A15:K15"/>
    <mergeCell ref="A19:K30"/>
    <mergeCell ref="J10:K10"/>
    <mergeCell ref="F11:G11"/>
    <mergeCell ref="H11:I11"/>
    <mergeCell ref="J11:K11"/>
    <mergeCell ref="A12:K1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项目信息</vt:lpstr>
      <vt:lpstr>配比记录1-HPC示例</vt:lpstr>
      <vt:lpstr>配比记录2-UHPC示例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步 漫</cp:lastModifiedBy>
  <dcterms:created xsi:type="dcterms:W3CDTF">2026-07-03T08:52:44Z</dcterms:created>
  <dcterms:modified xsi:type="dcterms:W3CDTF">2026-07-10T12:09:09Z</dcterms:modified>
</cp:coreProperties>
</file>