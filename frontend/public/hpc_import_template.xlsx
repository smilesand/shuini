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配比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<sst xmlns="http://schemas.openxmlformats.org/spreadsheetml/2006/main" count="52" uniqueCount="45">
  <si>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r>
      <rPr>
        <b/>
        <sz val="18"/>
        <color rgb="FF1F4E79"/>
        <rFont val="微软雅黑"/>
        <charset val="134"/>
      </rPr>
      <t>混凝土配合比记录</t>
    </r>
    <r>
      <rPr>
        <b/>
        <sz val="18"/>
        <color rgb="FF1F4E79"/>
        <rFont val="Times New Roman"/>
        <charset val="134"/>
      </rPr>
      <t xml:space="preserve"> · </t>
    </r>
    <r>
      <rPr>
        <b/>
        <sz val="18"/>
        <color rgb="FF1F4E79"/>
        <rFont val="微软雅黑"/>
        <charset val="134"/>
      </rPr>
      <t>导入模板</t>
    </r>
  </si>
  <si>
    <t>一、配合比信息</t>
  </si>
  <si>
    <t>配合比名称</t>
  </si>
  <si>
    <t>配合比类型</t>
  </si>
  <si>
    <t>创建人</t>
  </si>
  <si>
    <t>创建时间</t>
  </si>
  <si>
    <r>
      <rPr>
        <sz val="12"/>
        <color theme="1"/>
        <rFont val="Times New Roman"/>
        <charset val="134"/>
      </rPr>
      <t>C80</t>
    </r>
    <r>
      <rPr>
        <sz val="12"/>
        <color theme="1"/>
        <rFont val="宋体"/>
        <charset val="134"/>
      </rPr>
      <t>风电</t>
    </r>
  </si>
  <si>
    <t>HPC</t>
  </si>
  <si>
    <t>admin</t>
  </si>
  <si>
    <t>2026.6.23</t>
  </si>
  <si>
    <t>二、混凝土性能要求</t>
  </si>
  <si>
    <r>
      <rPr>
        <b/>
        <sz val="12"/>
        <color rgb="FFFFFFFF"/>
        <rFont val="微软雅黑"/>
        <charset val="134"/>
      </rPr>
      <t>强度等级</t>
    </r>
    <r>
      <rPr>
        <b/>
        <sz val="12"/>
        <color rgb="FFFFFFFF"/>
        <rFont val="Times New Roman"/>
        <charset val="134"/>
      </rPr>
      <t>/MPa</t>
    </r>
  </si>
  <si>
    <r>
      <rPr>
        <b/>
        <sz val="12"/>
        <color rgb="FFFFFFFF"/>
        <rFont val="微软雅黑"/>
        <charset val="134"/>
      </rPr>
      <t>扩展度</t>
    </r>
    <r>
      <rPr>
        <b/>
        <sz val="12"/>
        <color rgb="FFFFFFFF"/>
        <rFont val="Times New Roman"/>
        <charset val="134"/>
      </rPr>
      <t>/mm</t>
    </r>
  </si>
  <si>
    <r>
      <rPr>
        <b/>
        <sz val="12"/>
        <color rgb="FFFFFFFF"/>
        <rFont val="微软雅黑"/>
        <charset val="134"/>
      </rPr>
      <t>坍落度</t>
    </r>
    <r>
      <rPr>
        <b/>
        <sz val="12"/>
        <color rgb="FFFFFFFF"/>
        <rFont val="Times New Roman"/>
        <charset val="134"/>
      </rPr>
      <t>/mm</t>
    </r>
  </si>
  <si>
    <t>其他</t>
  </si>
  <si>
    <t>三、原材料性能</t>
  </si>
  <si>
    <r>
      <rPr>
        <b/>
        <sz val="12"/>
        <color rgb="FFFFFFFF"/>
        <rFont val="微软雅黑"/>
        <charset val="134"/>
      </rPr>
      <t>胶材</t>
    </r>
    <r>
      <rPr>
        <b/>
        <sz val="12"/>
        <color rgb="FFFFFFFF"/>
        <rFont val="Times New Roman"/>
        <charset val="134"/>
      </rPr>
      <t>28d</t>
    </r>
    <r>
      <rPr>
        <b/>
        <sz val="12"/>
        <color rgb="FFFFFFFF"/>
        <rFont val="微软雅黑"/>
        <charset val="134"/>
      </rPr>
      <t>强度</t>
    </r>
    <r>
      <rPr>
        <b/>
        <sz val="12"/>
        <color rgb="FFFFFFFF"/>
        <rFont val="Times New Roman"/>
        <charset val="134"/>
      </rPr>
      <t>/MPa</t>
    </r>
  </si>
  <si>
    <r>
      <rPr>
        <b/>
        <sz val="12"/>
        <color rgb="FFFFFFFF"/>
        <rFont val="微软雅黑"/>
        <charset val="134"/>
      </rPr>
      <t>表观密度</t>
    </r>
    <r>
      <rPr>
        <b/>
        <sz val="12"/>
        <color rgb="FFFFFFFF"/>
        <rFont val="Times New Roman"/>
        <charset val="134"/>
      </rPr>
      <t>/kg/m³</t>
    </r>
  </si>
  <si>
    <r>
      <rPr>
        <b/>
        <sz val="12"/>
        <color rgb="FFFFFFFF"/>
        <rFont val="微软雅黑"/>
        <charset val="134"/>
      </rPr>
      <t>粗骨料最大粒径</t>
    </r>
    <r>
      <rPr>
        <b/>
        <sz val="12"/>
        <color rgb="FFFFFFFF"/>
        <rFont val="Times New Roman"/>
        <charset val="134"/>
      </rPr>
      <t>/mm</t>
    </r>
  </si>
  <si>
    <t>水泥</t>
  </si>
  <si>
    <t>粉煤灰</t>
  </si>
  <si>
    <t>矿粉</t>
  </si>
  <si>
    <t>微珠</t>
  </si>
  <si>
    <t>硅灰</t>
  </si>
  <si>
    <t>粗骨料</t>
  </si>
  <si>
    <t>细骨料</t>
  </si>
  <si>
    <t>四、配合比关键参数</t>
  </si>
  <si>
    <r>
      <rPr>
        <b/>
        <sz val="12"/>
        <color theme="0"/>
        <rFont val="微软雅黑"/>
        <charset val="134"/>
      </rPr>
      <t>水胶比</t>
    </r>
    <r>
      <rPr>
        <b/>
        <sz val="12"/>
        <color theme="0"/>
        <rFont val="Times New Roman"/>
        <charset val="134"/>
      </rPr>
      <t xml:space="preserve"> W/B</t>
    </r>
  </si>
  <si>
    <r>
      <rPr>
        <b/>
        <sz val="12"/>
        <color theme="0"/>
        <rFont val="宋体"/>
        <charset val="134"/>
      </rPr>
      <t>水泥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</si>
  <si>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粉煤灰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</si>
  <si>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矿粉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</si>
  <si>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微珠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</si>
  <si>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宋体"/>
        <charset val="134"/>
      </rPr>
      <t>硅灰</t>
    </r>
    <r>
      <rPr>
        <b/>
        <sz val="12"/>
        <color theme="0"/>
        <rFont val="Times New Roman"/>
        <charset val="134"/>
      </rPr>
      <t>/%</t>
    </r>
  </si>
  <si>
    <t>胶材总量</t>
  </si>
  <si>
    <r>
      <rPr>
        <b/>
        <sz val="12"/>
        <color theme="0"/>
        <rFont val="微软雅黑"/>
        <charset val="134"/>
      </rPr>
      <t>砂率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</si>
  <si>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微软雅黑"/>
        <charset val="134"/>
      </rPr>
      <t>粗骨料体积</t>
    </r>
    <r>
      <rPr>
        <b/>
        <sz val="12"/>
        <color theme="0"/>
        <rFont val="Times New Roman"/>
        <charset val="134"/>
      </rPr>
      <t xml:space="preserve"> /m³</t>
    </r>
  </si>
  <si>
    <r>
      <rPr>
        <b/>
        <sz val="12"/>
        <color theme="0"/>
        <rFont val="微软雅黑"/>
        <charset val="134"/>
      </rPr>
      <t>外加剂</t>
    </r>
    <r>
      <rPr>
        <b/>
        <sz val="12"/>
        <color theme="0"/>
        <rFont val="Times New Roman"/>
        <charset val="134"/>
      </rPr>
      <t>/%</t>
    </r>
  </si>
  <si>
    <r>
      <rPr>
        <b/>
        <sz val="12"/>
        <color theme="0"/>
        <rFont val="微软雅黑"/>
        <charset val="134"/>
      </rPr>
      <t>含气量</t>
    </r>
    <r>
      <rPr>
        <sz val="12"/>
        <color theme="0"/>
        <rFont val="Times New Roman"/>
        <charset val="134"/>
      </rPr>
      <t>/m3</t>
    </r>
  </si>
  <si>
    <t>五、实验室配合比</t>
  </si>
  <si>
    <t>用量</t>
  </si>
  <si>
    <t>水</t>
  </si>
  <si>
    <t>外加剂</t>
  </si>
  <si>
    <t>合计</t>
  </si>
  <si>
    <t>每方用量(kg/m3)</t>
  </si>
  <si>
    <r>
      <t xml:space="preserve">注：
</t>
    </r>
    <r>
      <rPr>
        <b/>
        <sz val="11"/>
        <color theme="1"/>
        <rFont val="Times New Roman"/>
        <charset val="134"/>
      </rPr>
      <t>1</t>
    </r>
    <r>
      <rPr>
        <b/>
        <sz val="11"/>
        <color theme="1"/>
        <rFont val="宋体"/>
        <charset val="134"/>
      </rPr>
      <t>）绿色方框需输入数值，黄色方框为计算值，无需输入；</t>
    </r>
    <r>
      <rPr>
        <b/>
        <sz val="11"/>
        <color theme="1"/>
        <rFont val="Times New Roman"/>
        <charset val="134"/>
      </rPr>
      <t xml:space="preserve">
2</t>
    </r>
    <r>
      <rPr>
        <b/>
        <sz val="11"/>
        <color theme="1"/>
        <rFont val="宋体"/>
        <charset val="134"/>
      </rPr>
      <t>）配合比类型：高性能混凝土为</t>
    </r>
    <r>
      <rPr>
        <b/>
        <sz val="11"/>
        <color theme="1"/>
        <rFont val="Times New Roman"/>
        <charset val="134"/>
      </rPr>
      <t>HPC</t>
    </r>
    <r>
      <rPr>
        <b/>
        <sz val="11"/>
        <color theme="1"/>
        <rFont val="宋体"/>
        <charset val="134"/>
      </rPr>
      <t>；超高性能混凝土为</t>
    </r>
    <r>
      <rPr>
        <b/>
        <sz val="11"/>
        <color theme="1"/>
        <rFont val="Times New Roman"/>
        <charset val="134"/>
      </rPr>
      <t>UHPC</t>
    </r>
    <r>
      <rPr>
        <b/>
        <sz val="11"/>
        <color theme="1"/>
        <rFont val="宋体"/>
        <charset val="134"/>
      </rPr>
      <t>；</t>
    </r>
    <r>
      <rPr>
        <b/>
        <sz val="11"/>
        <color theme="1"/>
        <rFont val="Times New Roman"/>
        <charset val="134"/>
      </rPr>
      <t xml:space="preserve">
3</t>
    </r>
    <r>
      <rPr>
        <b/>
        <sz val="11"/>
        <color theme="1"/>
        <rFont val="宋体"/>
        <charset val="134"/>
      </rPr>
      <t>）扩展度和坍落度填写具体数值或范围的平均值；</t>
    </r>
    <r>
      <rPr>
        <b/>
        <sz val="11"/>
        <color theme="1"/>
        <rFont val="Times New Roman"/>
        <charset val="134"/>
      </rPr>
      <t xml:space="preserve">
4</t>
    </r>
    <r>
      <rPr>
        <b/>
        <sz val="11"/>
        <color theme="1"/>
        <rFont val="宋体"/>
        <charset val="134"/>
      </rPr>
      <t>）胶材</t>
    </r>
    <r>
      <rPr>
        <b/>
        <sz val="11"/>
        <color theme="1"/>
        <rFont val="Times New Roman"/>
        <charset val="134"/>
      </rPr>
      <t>28d</t>
    </r>
    <r>
      <rPr>
        <b/>
        <sz val="11"/>
        <color theme="1"/>
        <rFont val="宋体"/>
        <charset val="134"/>
      </rPr>
      <t>强度为本胶材组成制备标准胶砂试样的标养</t>
    </r>
    <r>
      <rPr>
        <b/>
        <sz val="11"/>
        <color theme="1"/>
        <rFont val="Times New Roman"/>
        <charset val="134"/>
      </rPr>
      <t>28d</t>
    </r>
    <r>
      <rPr>
        <b/>
        <sz val="11"/>
        <color theme="1"/>
        <rFont val="宋体"/>
        <charset val="134"/>
      </rPr>
      <t>抗压强度；无实测值时，可根据水泥等级及其富余系数、各掺合料强度影响系数等进行估算；</t>
    </r>
    <r>
      <rPr>
        <b/>
        <sz val="11"/>
        <color theme="1"/>
        <rFont val="Times New Roman"/>
        <charset val="134"/>
      </rPr>
      <t xml:space="preserve">
5</t>
    </r>
    <r>
      <rPr>
        <b/>
        <sz val="11"/>
        <color theme="1"/>
        <rFont val="宋体"/>
        <charset val="134"/>
      </rPr>
      <t>）各原材料表观密度、含气量有实测值时填写实测值；无实测值可参考软件中的推荐值；</t>
    </r>
    <r>
      <rPr>
        <b/>
        <sz val="11"/>
        <color theme="1"/>
        <rFont val="Times New Roman"/>
        <charset val="134"/>
      </rPr>
      <t xml:space="preserve">
6</t>
    </r>
    <r>
      <rPr>
        <b/>
        <sz val="11"/>
        <color theme="1"/>
        <rFont val="宋体"/>
        <charset val="134"/>
      </rPr>
      <t>）粗骨料最大粒径填写：</t>
    </r>
    <r>
      <rPr>
        <b/>
        <sz val="11"/>
        <color theme="1"/>
        <rFont val="Times New Roman"/>
        <charset val="134"/>
      </rPr>
      <t>16</t>
    </r>
    <r>
      <rPr>
        <b/>
        <sz val="11"/>
        <color theme="1"/>
        <rFont val="宋体"/>
        <charset val="134"/>
      </rPr>
      <t>、</t>
    </r>
    <r>
      <rPr>
        <b/>
        <sz val="11"/>
        <color theme="1"/>
        <rFont val="Times New Roman"/>
        <charset val="134"/>
      </rPr>
      <t>20</t>
    </r>
    <r>
      <rPr>
        <b/>
        <sz val="11"/>
        <color theme="1"/>
        <rFont val="宋体"/>
        <charset val="134"/>
      </rPr>
      <t>或</t>
    </r>
    <r>
      <rPr>
        <b/>
        <sz val="11"/>
        <color theme="1"/>
        <rFont val="Times New Roman"/>
        <charset val="134"/>
      </rPr>
      <t>25</t>
    </r>
    <r>
      <rPr>
        <b/>
        <sz val="11"/>
        <color theme="1"/>
        <rFont val="宋体"/>
        <charset val="134"/>
      </rPr>
      <t>；
7）实验室配合比第三行为试拌体积下的用量，填写试拌体积，单位为L；
8）不涉及的方框，不用填写任何内容，空着即可。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</si>
</sst>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_ "/>
  </numFmts>
  <fonts count="40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8"/>
      <color rgb="FF1F4E79"/>
      <name val="微软雅黑"/>
      <charset val="134"/>
    </font>
    <font>
      <sz val="18"/>
      <color theme="1"/>
      <name val="Times New Roman"/>
      <charset val="134"/>
    </font>
    <font>
      <b/>
      <sz val="14"/>
      <color rgb="FF1F4E79"/>
      <name val="微软雅黑"/>
      <charset val="134"/>
    </font>
    <font>
      <b/>
      <sz val="14"/>
      <color rgb="FF1F4E79"/>
      <name val="Times New Roman"/>
      <charset val="134"/>
    </font>
    <font>
      <b/>
      <sz val="12"/>
      <color rgb="FFFFFFFF"/>
      <name val="微软雅黑"/>
      <charset val="134"/>
    </font>
    <font>
      <b/>
      <sz val="12"/>
      <color rgb="FFFFFFFF"/>
      <name val="Times New Roman"/>
      <charset val="134"/>
    </font>
    <font>
      <sz val="12"/>
      <color theme="1"/>
      <name val="Times New Roman"/>
      <charset val="134"/>
    </font>
    <font>
      <sz val="12"/>
      <name val="Times New Roman"/>
      <charset val="134"/>
    </font>
    <font>
      <b/>
      <sz val="12"/>
      <color theme="0"/>
      <name val="微软雅黑"/>
      <charset val="134"/>
    </font>
    <font>
      <b/>
      <sz val="12"/>
      <color theme="0"/>
      <name val="宋体"/>
      <charset val="134"/>
    </font>
    <font>
      <b/>
      <sz val="12"/>
      <color rgb="FFFFFFFF"/>
      <name val="宋体"/>
      <charset val="134"/>
    </font>
    <font>
      <b/>
      <sz val="10"/>
      <color rgb="FFFFFFFF"/>
      <name val="宋体"/>
      <charset val="134"/>
    </font>
    <font>
      <sz val="12"/>
      <name val="微软雅黑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theme="0"/>
      <name val="Times New Roman"/>
      <charset val="134"/>
    </font>
    <font>
      <b/>
      <sz val="18"/>
      <color rgb="FF1F4E79"/>
      <name val="Times New Roman"/>
      <charset val="134"/>
    </font>
    <font>
      <sz val="12"/>
      <color theme="1"/>
      <name val="宋体"/>
      <charset val="134"/>
    </font>
    <font>
      <b/>
      <sz val="11"/>
      <color theme="1"/>
      <name val="Times New Roman"/>
      <charset val="134"/>
    </font>
    <font>
      <sz val="12"/>
      <color theme="0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D6E4F0"/>
        <bgColor rgb="FFD6E4F0"/>
      </patternFill>
    </fill>
    <fill>
      <patternFill patternType="solid">
        <fgColor rgb="FF4472C4"/>
        <bgColor rgb="FF4472C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5" applyNumberFormat="0" applyAlignment="0" applyProtection="0">
      <alignment vertical="center"/>
    </xf>
    <xf numFmtId="0" fontId="25" fillId="8" borderId="16" applyNumberFormat="0" applyAlignment="0" applyProtection="0">
      <alignment vertical="center"/>
    </xf>
    <xf numFmtId="0" fontId="26" fillId="8" borderId="15" applyNumberFormat="0" applyAlignment="0" applyProtection="0">
      <alignment vertical="center"/>
    </xf>
    <xf numFmtId="0" fontId="27" fillId="9" borderId="17" applyNumberFormat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0" fontId="8" fillId="4" borderId="4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76" fontId="8" fillId="5" borderId="1" xfId="0" applyNumberFormat="1" applyFont="1" applyFill="1" applyBorder="1" applyAlignment="1">
      <alignment horizontal="center"/>
    </xf>
    <xf numFmtId="177" fontId="8" fillId="5" borderId="1" xfId="0" applyNumberFormat="1" applyFont="1" applyFill="1" applyBorder="1" applyAlignment="1">
      <alignment horizontal="center" vertical="center"/>
    </xf>
    <xf numFmtId="177" fontId="8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178" fontId="8" fillId="5" borderId="1" xfId="0" applyNumberFormat="1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top" wrapText="1"/>
    </xf>
    <xf numFmtId="0" fontId="1" fillId="0" borderId="9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10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0" borderId="8" xfId="0" applyFont="1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K30"/>
  <sheetViews>
    <sheetView tabSelected="1" workbookViewId="0">
      <selection activeCell="A19" sqref="A19:K30"/>
    </sheetView>
  </sheetViews>
  <sheetFormatPr defaultColWidth="9" defaultRowHeight="15"/>
  <cols>
    <col min="1" max="1" width="15.625" style="1" customWidth="1"/>
    <col min="2" max="8" width="12" style="1" customWidth="1"/>
    <col min="9" max="9" width="14.875" style="1" customWidth="1"/>
    <col min="10" max="11" width="12" style="1" customWidth="1"/>
    <col min="12" max="16384" width="9" style="1"/>
  </cols>
  <sheetData>
    <row r="1" ht="24.75" spans="1:1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ht="21" spans="1:1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ht="18" spans="1:11">
      <c r="A3" s="7" t="s">
        <v>2</v>
      </c>
      <c r="B3" s="8"/>
      <c r="C3" s="9"/>
      <c r="D3" s="7" t="s">
        <v>3</v>
      </c>
      <c r="E3" s="8"/>
      <c r="F3" s="9"/>
      <c r="G3" s="7" t="s">
        <v>4</v>
      </c>
      <c r="H3" s="8"/>
      <c r="I3" s="9"/>
      <c r="J3" s="7" t="s">
        <v>5</v>
      </c>
      <c r="K3" s="9"/>
    </row>
    <row r="4" ht="15.75" spans="1:11">
      <c r="A4" s="10" t="s">
        <v>6</v>
      </c>
      <c r="B4" s="11"/>
      <c r="C4" s="12"/>
      <c r="D4" s="10" t="s">
        <v>7</v>
      </c>
      <c r="E4" s="11"/>
      <c r="F4" s="11"/>
      <c r="G4" s="10" t="s">
        <v>8</v>
      </c>
      <c r="H4" s="11"/>
      <c r="I4" s="11"/>
      <c r="J4" s="10" t="s">
        <v>9</v>
      </c>
      <c r="K4" s="12"/>
    </row>
    <row r="5" ht="21" spans="1:11">
      <c r="A5" s="4" t="s">
        <v>10</v>
      </c>
      <c r="B5" s="5"/>
      <c r="C5" s="5"/>
      <c r="D5" s="5"/>
      <c r="E5" s="5"/>
      <c r="F5" s="5"/>
      <c r="G5" s="5"/>
      <c r="H5" s="5"/>
      <c r="I5" s="5"/>
      <c r="J5" s="5"/>
      <c r="K5" s="6"/>
    </row>
    <row r="6" ht="18" spans="1:11">
      <c r="A6" s="7" t="s">
        <v>11</v>
      </c>
      <c r="B6" s="8"/>
      <c r="C6" s="9"/>
      <c r="D6" s="7" t="s">
        <v>12</v>
      </c>
      <c r="E6" s="8"/>
      <c r="F6" s="9"/>
      <c r="G6" s="7" t="s">
        <v>13</v>
      </c>
      <c r="H6" s="8"/>
      <c r="I6" s="9"/>
      <c r="J6" s="7" t="s">
        <v>14</v>
      </c>
      <c r="K6" s="9"/>
    </row>
    <row r="7" ht="15.75" spans="1:11">
      <c r="A7" s="13">
        <v>80</v>
      </c>
      <c r="B7" s="14"/>
      <c r="C7" s="14"/>
      <c r="D7" s="10">
        <v>650</v>
      </c>
      <c r="E7" s="11"/>
      <c r="F7" s="11"/>
      <c r="G7" s="10"/>
      <c r="H7" s="11"/>
      <c r="I7" s="11"/>
      <c r="J7" s="10"/>
      <c r="K7" s="12"/>
    </row>
    <row r="8" ht="21" spans="1:11">
      <c r="A8" s="4" t="s">
        <v>15</v>
      </c>
      <c r="B8" s="5"/>
      <c r="C8" s="5"/>
      <c r="D8" s="5"/>
      <c r="E8" s="5"/>
      <c r="F8" s="5"/>
      <c r="G8" s="5"/>
      <c r="H8" s="5"/>
      <c r="I8" s="5"/>
      <c r="J8" s="5"/>
      <c r="K8" s="6"/>
    </row>
    <row r="9" ht="18" spans="1:11">
      <c r="A9" s="15" t="s">
        <v>16</v>
      </c>
      <c r="B9" s="16"/>
      <c r="C9" s="7" t="s">
        <v>17</v>
      </c>
      <c r="D9" s="8"/>
      <c r="E9" s="8"/>
      <c r="F9" s="8"/>
      <c r="G9" s="8"/>
      <c r="H9" s="8"/>
      <c r="I9" s="9"/>
      <c r="J9" s="15" t="s">
        <v>18</v>
      </c>
      <c r="K9" s="16"/>
    </row>
    <row r="10" ht="18" spans="1:11">
      <c r="A10" s="17"/>
      <c r="B10" s="18"/>
      <c r="C10" s="19" t="s">
        <v>19</v>
      </c>
      <c r="D10" s="19" t="s">
        <v>20</v>
      </c>
      <c r="E10" s="19" t="s">
        <v>21</v>
      </c>
      <c r="F10" s="19" t="s">
        <v>22</v>
      </c>
      <c r="G10" s="19" t="s">
        <v>23</v>
      </c>
      <c r="H10" s="19" t="s">
        <v>24</v>
      </c>
      <c r="I10" s="19" t="s">
        <v>25</v>
      </c>
      <c r="J10" s="17"/>
      <c r="K10" s="18"/>
    </row>
    <row r="11" ht="15.75" spans="1:11">
      <c r="A11" s="20">
        <v>50</v>
      </c>
      <c r="B11" s="21"/>
      <c r="C11" s="22">
        <v>3100</v>
      </c>
      <c r="D11" s="22">
        <v>2200</v>
      </c>
      <c r="E11" s="22">
        <v>2900</v>
      </c>
      <c r="F11" s="22">
        <v>2100</v>
      </c>
      <c r="G11" s="22">
        <v>2400</v>
      </c>
      <c r="H11" s="22">
        <v>2700</v>
      </c>
      <c r="I11" s="22">
        <v>2650</v>
      </c>
      <c r="J11" s="10">
        <v>20</v>
      </c>
      <c r="K11" s="12"/>
    </row>
    <row r="12" ht="21" spans="1:11">
      <c r="A12" s="4" t="s">
        <v>26</v>
      </c>
      <c r="B12" s="5"/>
      <c r="C12" s="5"/>
      <c r="D12" s="5"/>
      <c r="E12" s="5"/>
      <c r="F12" s="5"/>
      <c r="G12" s="5"/>
      <c r="H12" s="5"/>
      <c r="I12" s="5"/>
      <c r="J12" s="5"/>
      <c r="K12" s="6"/>
    </row>
    <row r="13" ht="18" spans="1:11">
      <c r="A13" s="23" t="s">
        <v>27</v>
      </c>
      <c r="B13" s="24" t="s">
        <v>28</v>
      </c>
      <c r="C13" s="24" t="s">
        <v>29</v>
      </c>
      <c r="D13" s="24" t="s">
        <v>30</v>
      </c>
      <c r="E13" s="24" t="s">
        <v>31</v>
      </c>
      <c r="F13" s="24" t="s">
        <v>32</v>
      </c>
      <c r="G13" s="24" t="s">
        <v>33</v>
      </c>
      <c r="H13" s="23" t="s">
        <v>34</v>
      </c>
      <c r="I13" s="23" t="s">
        <v>35</v>
      </c>
      <c r="J13" s="23" t="s">
        <v>36</v>
      </c>
      <c r="K13" s="23" t="s">
        <v>37</v>
      </c>
    </row>
    <row r="14" ht="15.75" spans="1:11">
      <c r="A14" s="25">
        <f>I17/G14</f>
        <v>0.258333333333333</v>
      </c>
      <c r="B14" s="26">
        <f>100-C14-D14-E14-F14</f>
        <v>70</v>
      </c>
      <c r="C14" s="27">
        <f>C17/$G$14*100</f>
        <v>10</v>
      </c>
      <c r="D14" s="27">
        <f>D17/$G$14*100</f>
        <v>0</v>
      </c>
      <c r="E14" s="27">
        <f>E17/$G$14*100</f>
        <v>10</v>
      </c>
      <c r="F14" s="27">
        <f>F17/$G$14*100</f>
        <v>10</v>
      </c>
      <c r="G14" s="28">
        <f>B17+C17+D17+E17+F17</f>
        <v>600</v>
      </c>
      <c r="H14" s="29">
        <f>H17/(H17+G17)*100</f>
        <v>45.5621301775148</v>
      </c>
      <c r="I14" s="25">
        <f>G17/H11</f>
        <v>0.340740740740741</v>
      </c>
      <c r="J14" s="25">
        <f>J17/G14*100</f>
        <v>1.5</v>
      </c>
      <c r="K14" s="30">
        <v>0.01</v>
      </c>
    </row>
    <row r="15" ht="21" spans="1:11">
      <c r="A15" s="4" t="s">
        <v>38</v>
      </c>
      <c r="B15" s="5"/>
      <c r="C15" s="5"/>
      <c r="D15" s="5"/>
      <c r="E15" s="5"/>
      <c r="F15" s="5"/>
      <c r="G15" s="5"/>
      <c r="H15" s="5"/>
      <c r="I15" s="5"/>
      <c r="J15" s="5"/>
      <c r="K15" s="6"/>
    </row>
    <row r="16" ht="18" spans="1:11">
      <c r="A16" s="31" t="s">
        <v>39</v>
      </c>
      <c r="B16" s="19" t="s">
        <v>19</v>
      </c>
      <c r="C16" s="19" t="s">
        <v>20</v>
      </c>
      <c r="D16" s="19" t="s">
        <v>21</v>
      </c>
      <c r="E16" s="19" t="s">
        <v>22</v>
      </c>
      <c r="F16" s="19" t="s">
        <v>23</v>
      </c>
      <c r="G16" s="19" t="s">
        <v>24</v>
      </c>
      <c r="H16" s="19" t="s">
        <v>25</v>
      </c>
      <c r="I16" s="19" t="s">
        <v>40</v>
      </c>
      <c r="J16" s="19" t="s">
        <v>41</v>
      </c>
      <c r="K16" s="19" t="s">
        <v>42</v>
      </c>
    </row>
    <row r="17" ht="15.75" spans="1:11">
      <c r="A17" s="32" t="s">
        <v>43</v>
      </c>
      <c r="B17" s="22">
        <v>420</v>
      </c>
      <c r="C17" s="22">
        <v>60</v>
      </c>
      <c r="D17" s="22">
        <v>0</v>
      </c>
      <c r="E17" s="22">
        <v>60</v>
      </c>
      <c r="F17" s="22">
        <v>60</v>
      </c>
      <c r="G17" s="22">
        <v>920</v>
      </c>
      <c r="H17" s="22">
        <v>770</v>
      </c>
      <c r="I17" s="22">
        <v>155</v>
      </c>
      <c r="J17" s="22">
        <v>9</v>
      </c>
      <c r="K17" s="33">
        <f>SUM(B17:J17)</f>
        <v>2454</v>
      </c>
    </row>
    <row r="18" ht="20" customHeight="1" spans="1:11">
      <c r="A18" s="34">
        <v>20</v>
      </c>
      <c r="B18" s="33">
        <f>B17*$A$18/1000</f>
        <v>8.4</v>
      </c>
      <c r="C18" s="33">
        <f t="shared" ref="C18:K18" si="0">C17*$A$18/1000</f>
        <v>1.2</v>
      </c>
      <c r="D18" s="33">
        <f t="shared" si="0"/>
        <v>0</v>
      </c>
      <c r="E18" s="33">
        <f t="shared" si="0"/>
        <v>1.2</v>
      </c>
      <c r="F18" s="33">
        <f t="shared" si="0"/>
        <v>1.2</v>
      </c>
      <c r="G18" s="33">
        <f t="shared" si="0"/>
        <v>18.4</v>
      </c>
      <c r="H18" s="33">
        <f t="shared" si="0"/>
        <v>15.4</v>
      </c>
      <c r="I18" s="33">
        <f t="shared" si="0"/>
        <v>3.1</v>
      </c>
      <c r="J18" s="33">
        <f t="shared" si="0"/>
        <v>0.18</v>
      </c>
      <c r="K18" s="33">
        <f t="shared" si="0"/>
        <v>49.08</v>
      </c>
    </row>
    <row r="19" spans="1:11">
      <c r="A19" s="35" t="s">
        <v>44</v>
      </c>
      <c r="B19" s="36"/>
      <c r="C19" s="36"/>
      <c r="D19" s="36"/>
      <c r="E19" s="36"/>
      <c r="F19" s="36"/>
      <c r="G19" s="36"/>
      <c r="H19" s="36"/>
      <c r="I19" s="36"/>
      <c r="J19" s="36"/>
      <c r="K19" s="37"/>
    </row>
    <row r="20" spans="1:1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9"/>
    </row>
    <row r="21" spans="1:11">
      <c r="A21" s="38"/>
      <c r="B21" s="38"/>
      <c r="C21" s="38"/>
      <c r="D21" s="38"/>
      <c r="E21" s="38"/>
      <c r="F21" s="38"/>
      <c r="G21" s="38"/>
      <c r="H21" s="38"/>
      <c r="I21" s="38"/>
      <c r="J21" s="38"/>
      <c r="K21" s="39"/>
    </row>
    <row r="22" spans="1:1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9"/>
    </row>
    <row r="23" spans="1:11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9"/>
    </row>
    <row r="24" spans="1:11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9"/>
    </row>
    <row r="25" spans="1:11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9"/>
    </row>
    <row r="26" spans="1:11">
      <c r="A26" s="38"/>
      <c r="B26" s="38"/>
      <c r="C26" s="38"/>
      <c r="D26" s="38"/>
      <c r="E26" s="38"/>
      <c r="F26" s="38"/>
      <c r="G26" s="38"/>
      <c r="H26" s="38"/>
      <c r="I26" s="38"/>
      <c r="J26" s="38"/>
      <c r="K26" s="39"/>
    </row>
    <row r="27" spans="1:11">
      <c r="A27" s="38"/>
      <c r="B27" s="38"/>
      <c r="C27" s="38"/>
      <c r="D27" s="38"/>
      <c r="E27" s="38"/>
      <c r="F27" s="38"/>
      <c r="G27" s="38"/>
      <c r="H27" s="38"/>
      <c r="I27" s="38"/>
      <c r="J27" s="38"/>
      <c r="K27" s="39"/>
    </row>
    <row r="28" spans="1:11">
      <c r="A28" s="38"/>
      <c r="B28" s="38"/>
      <c r="C28" s="38"/>
      <c r="D28" s="38"/>
      <c r="E28" s="38"/>
      <c r="F28" s="38"/>
      <c r="G28" s="38"/>
      <c r="H28" s="38"/>
      <c r="I28" s="38"/>
      <c r="J28" s="38"/>
      <c r="K28" s="39"/>
    </row>
    <row r="29" spans="1:1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9"/>
    </row>
    <row r="30" spans="1:11">
      <c r="A30" s="40"/>
      <c r="B30" s="40"/>
      <c r="C30" s="40"/>
      <c r="D30" s="40"/>
      <c r="E30" s="40"/>
      <c r="F30" s="40"/>
      <c r="G30" s="40"/>
      <c r="H30" s="40"/>
      <c r="I30" s="40"/>
      <c r="J30" s="40"/>
      <c r="K30" s="41"/>
    </row>
  </sheetData>
  <mergeCells count="28">
    <mergeCell ref="A1:K1"/>
    <mergeCell ref="A2:K2"/>
    <mergeCell ref="A3:C3"/>
    <mergeCell ref="D3:F3"/>
    <mergeCell ref="G3:I3"/>
    <mergeCell ref="J3:K3"/>
    <mergeCell ref="A4:C4"/>
    <mergeCell ref="D4:F4"/>
    <mergeCell ref="G4:I4"/>
    <mergeCell ref="J4:K4"/>
    <mergeCell ref="A5:K5"/>
    <mergeCell ref="A6:C6"/>
    <mergeCell ref="D6:F6"/>
    <mergeCell ref="G6:I6"/>
    <mergeCell ref="J6:K6"/>
    <mergeCell ref="A7:C7"/>
    <mergeCell ref="D7:F7"/>
    <mergeCell ref="G7:I7"/>
    <mergeCell ref="J7:K7"/>
    <mergeCell ref="A8:K8"/>
    <mergeCell ref="C9:I9"/>
    <mergeCell ref="A11:B11"/>
    <mergeCell ref="J11:K11"/>
    <mergeCell ref="A12:K12"/>
    <mergeCell ref="A15:K15"/>
    <mergeCell ref="A9:B10"/>
    <mergeCell ref="J9:K10"/>
    <mergeCell ref="A19:K3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配比导入模板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无敌小王子</cp:lastModifiedBy>
  <dcterms:created xsi:type="dcterms:W3CDTF">2026-06-23T06:56:00Z</dcterms:created>
  <dcterms:modified xsi:type="dcterms:W3CDTF">2026-07-07T06:38:05Z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287BE35D8DE5441F9D4E1BEC466A33A2_12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