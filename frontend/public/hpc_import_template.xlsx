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/>
  <mc:AlternateContent xmlns:mc="http://schemas.openxmlformats.org/markup-compatibility/2006">
    <mc:Choice Requires="x15">
      <x15ac:absPath xmlns:x15ac="http://schemas.microsoft.com/office/spreadsheetml/2010/11/ac" url="E:\Projects\水泥配比\资料\"/>
    </mc:Choice>
  </mc:AlternateContent>
  <xr:revisionPtr revIDLastSave="0" documentId="13_ncr:1_{DE8BC76D-0405-44BB-A8C8-BB2FD023C66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配比导入模板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8" i="1" l="1"/>
  <c r="I18" i="1"/>
  <c r="H18" i="1"/>
  <c r="G18" i="1"/>
  <c r="F18" i="1"/>
  <c r="E18" i="1"/>
  <c r="D18" i="1"/>
  <c r="C18" i="1"/>
  <c r="B18" i="1"/>
  <c r="K17" i="1"/>
  <c r="K18" i="1" s="1"/>
  <c r="I14" i="1"/>
  <c r="H14" i="1"/>
  <c r="G14" i="1"/>
  <c r="J14" i="1" s="1"/>
  <c r="A14" i="1" l="1"/>
  <c r="C14" i="1"/>
  <c r="D14" i="1"/>
  <c r="E14" i="1"/>
  <c r="F14" i="1"/>
  <c r="B14" i="1" l="1"/>
</calcChain>
</file>

<file path=xl/sharedStrings.xml><?xml version="1.0" encoding="utf-8"?>
<sst xmlns="http://schemas.openxmlformats.org/spreadsheetml/2006/main" count="51" uniqueCount="44">
  <si>
    <r>
      <t>混凝土配合比记录</t>
    </r>
    <r>
      <rPr>
        <b/>
        <sz val="18"/>
        <color rgb="FF1F4E79"/>
        <rFont val="Times New Roman"/>
        <family val="1"/>
      </rPr>
      <t xml:space="preserve"> · </t>
    </r>
    <r>
      <rPr>
        <b/>
        <sz val="18"/>
        <color rgb="FF1F4E79"/>
        <rFont val="微软雅黑"/>
        <charset val="134"/>
      </rPr>
      <t>导入模板</t>
    </r>
  </si>
  <si>
    <t>一、配合比信息</t>
  </si>
  <si>
    <t>配合比名称</t>
  </si>
  <si>
    <t>配合比类型</t>
  </si>
  <si>
    <t>创建人</t>
  </si>
  <si>
    <t>创建时间</t>
  </si>
  <si>
    <r>
      <t>C80</t>
    </r>
    <r>
      <rPr>
        <sz val="12"/>
        <color theme="1"/>
        <rFont val="宋体"/>
        <charset val="134"/>
      </rPr>
      <t>风电</t>
    </r>
  </si>
  <si>
    <t>HPC</t>
  </si>
  <si>
    <t>admin</t>
  </si>
  <si>
    <t>2026.6.23</t>
  </si>
  <si>
    <t>二、混凝土性能要求</t>
  </si>
  <si>
    <r>
      <t>强度等级</t>
    </r>
    <r>
      <rPr>
        <b/>
        <sz val="12"/>
        <color rgb="FFFFFFFF"/>
        <rFont val="Times New Roman"/>
        <family val="1"/>
      </rPr>
      <t>/MPa</t>
    </r>
  </si>
  <si>
    <r>
      <t>扩展度</t>
    </r>
    <r>
      <rPr>
        <b/>
        <sz val="12"/>
        <color rgb="FFFFFFFF"/>
        <rFont val="Times New Roman"/>
        <family val="1"/>
      </rPr>
      <t>/mm</t>
    </r>
  </si>
  <si>
    <r>
      <t>坍落度</t>
    </r>
    <r>
      <rPr>
        <b/>
        <sz val="12"/>
        <color rgb="FFFFFFFF"/>
        <rFont val="Times New Roman"/>
        <family val="1"/>
      </rPr>
      <t>/mm</t>
    </r>
  </si>
  <si>
    <t>其他</t>
  </si>
  <si>
    <t>三、原材料性能</t>
  </si>
  <si>
    <r>
      <t>胶材</t>
    </r>
    <r>
      <rPr>
        <b/>
        <sz val="12"/>
        <color rgb="FFFFFFFF"/>
        <rFont val="Times New Roman"/>
        <family val="1"/>
      </rPr>
      <t>28d</t>
    </r>
    <r>
      <rPr>
        <b/>
        <sz val="12"/>
        <color rgb="FFFFFFFF"/>
        <rFont val="微软雅黑"/>
        <charset val="134"/>
      </rPr>
      <t>强度</t>
    </r>
    <r>
      <rPr>
        <b/>
        <sz val="12"/>
        <color rgb="FFFFFFFF"/>
        <rFont val="Times New Roman"/>
        <family val="1"/>
      </rPr>
      <t>/MPa</t>
    </r>
  </si>
  <si>
    <r>
      <t>表观密度</t>
    </r>
    <r>
      <rPr>
        <b/>
        <sz val="12"/>
        <color rgb="FFFFFFFF"/>
        <rFont val="Times New Roman"/>
        <family val="1"/>
      </rPr>
      <t>/kg/m³</t>
    </r>
  </si>
  <si>
    <r>
      <t>粗骨料最大粒径</t>
    </r>
    <r>
      <rPr>
        <b/>
        <sz val="12"/>
        <color rgb="FFFFFFFF"/>
        <rFont val="Times New Roman"/>
        <family val="1"/>
      </rPr>
      <t>/mm</t>
    </r>
  </si>
  <si>
    <t>水泥</t>
  </si>
  <si>
    <t>粉煤灰</t>
  </si>
  <si>
    <t>矿粉</t>
  </si>
  <si>
    <t>微珠</t>
  </si>
  <si>
    <t>硅灰</t>
  </si>
  <si>
    <t>粗骨料</t>
  </si>
  <si>
    <t>细骨料</t>
  </si>
  <si>
    <t>四、配合比关键参数</t>
  </si>
  <si>
    <r>
      <t>水胶比</t>
    </r>
    <r>
      <rPr>
        <b/>
        <sz val="12"/>
        <color theme="0"/>
        <rFont val="Times New Roman"/>
        <family val="1"/>
      </rPr>
      <t xml:space="preserve"> W/B</t>
    </r>
  </si>
  <si>
    <r>
      <t>水泥</t>
    </r>
    <r>
      <rPr>
        <b/>
        <sz val="12"/>
        <color theme="0"/>
        <rFont val="Times New Roman"/>
        <family val="1"/>
      </rPr>
      <t>/%</t>
    </r>
  </si>
  <si>
    <r>
      <t>粉煤灰</t>
    </r>
    <r>
      <rPr>
        <b/>
        <sz val="12"/>
        <color theme="0"/>
        <rFont val="Times New Roman"/>
        <family val="1"/>
      </rPr>
      <t>/%</t>
    </r>
  </si>
  <si>
    <r>
      <t>矿粉</t>
    </r>
    <r>
      <rPr>
        <b/>
        <sz val="12"/>
        <color theme="0"/>
        <rFont val="Times New Roman"/>
        <family val="1"/>
      </rPr>
      <t>/%</t>
    </r>
  </si>
  <si>
    <r>
      <t>微珠</t>
    </r>
    <r>
      <rPr>
        <b/>
        <sz val="12"/>
        <color theme="0"/>
        <rFont val="Times New Roman"/>
        <family val="1"/>
      </rPr>
      <t>/%</t>
    </r>
  </si>
  <si>
    <r>
      <t>硅灰</t>
    </r>
    <r>
      <rPr>
        <b/>
        <sz val="12"/>
        <color theme="0"/>
        <rFont val="Times New Roman"/>
        <family val="1"/>
      </rPr>
      <t>/%</t>
    </r>
  </si>
  <si>
    <t>胶材总量</t>
  </si>
  <si>
    <r>
      <t>砂率</t>
    </r>
    <r>
      <rPr>
        <b/>
        <sz val="12"/>
        <color theme="0"/>
        <rFont val="Times New Roman"/>
        <family val="1"/>
      </rPr>
      <t>/%</t>
    </r>
  </si>
  <si>
    <r>
      <t>粗骨料体积</t>
    </r>
    <r>
      <rPr>
        <b/>
        <sz val="12"/>
        <color theme="0"/>
        <rFont val="Times New Roman"/>
        <family val="1"/>
      </rPr>
      <t xml:space="preserve"> /m³</t>
    </r>
  </si>
  <si>
    <r>
      <t>外加剂</t>
    </r>
    <r>
      <rPr>
        <b/>
        <sz val="12"/>
        <color theme="0"/>
        <rFont val="Times New Roman"/>
        <family val="1"/>
      </rPr>
      <t>/%</t>
    </r>
  </si>
  <si>
    <r>
      <t>含气量</t>
    </r>
    <r>
      <rPr>
        <sz val="12"/>
        <color theme="0"/>
        <rFont val="Times New Roman"/>
        <family val="1"/>
      </rPr>
      <t>/m3</t>
    </r>
  </si>
  <si>
    <t>五、实验室配合比</t>
  </si>
  <si>
    <t>用量</t>
  </si>
  <si>
    <t>水</t>
  </si>
  <si>
    <t>外加剂</t>
  </si>
  <si>
    <t>合计</t>
  </si>
  <si>
    <t>每方用量(kg/m3)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</si>
</sst>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.00_ "/>
    <numFmt numFmtId="177" formatCode="0.0_ "/>
    <numFmt numFmtId="178" formatCode="0_ "/>
  </numFmts>
  <fonts count="20" x14ac:knownFonts="1">
    <font>
      <sz val="11"/>
      <color theme="1"/>
      <name val="宋体"/>
      <charset val="134"/>
      <scheme val="minor"/>
    </font>
    <font>
      <sz val="11"/>
      <color theme="1"/>
      <name val="Times New Roman"/>
      <family val="1"/>
    </font>
    <font>
      <b/>
      <sz val="18"/>
      <color rgb="FF1F4E79"/>
      <name val="微软雅黑"/>
      <charset val="134"/>
    </font>
    <font>
      <sz val="18"/>
      <color theme="1"/>
      <name val="Times New Roman"/>
      <family val="1"/>
    </font>
    <font>
      <b/>
      <sz val="14"/>
      <color rgb="FF1F4E79"/>
      <name val="微软雅黑"/>
      <charset val="134"/>
    </font>
    <font>
      <b/>
      <sz val="14"/>
      <color rgb="FF1F4E79"/>
      <name val="Times New Roman"/>
      <family val="1"/>
    </font>
    <font>
      <b/>
      <sz val="12"/>
      <color rgb="FFFFFFFF"/>
      <name val="微软雅黑"/>
      <charset val="134"/>
    </font>
    <font>
      <b/>
      <sz val="12"/>
      <color rgb="FFFFFFFF"/>
      <name val="Times New Roman"/>
      <family val="1"/>
    </font>
    <font>
      <sz val="12"/>
      <color theme="1"/>
      <name val="Times New Roman"/>
      <family val="1"/>
    </font>
    <font>
      <sz val="12"/>
      <name val="Times New Roman"/>
      <family val="1"/>
    </font>
    <font>
      <b/>
      <sz val="12"/>
      <color theme="0"/>
      <name val="微软雅黑"/>
      <charset val="134"/>
    </font>
    <font>
      <b/>
      <sz val="12"/>
      <color theme="0"/>
      <name val="宋体"/>
      <charset val="134"/>
    </font>
    <font>
      <b/>
      <sz val="12"/>
      <color rgb="FFFFFFFF"/>
      <name val="宋体"/>
      <charset val="134"/>
    </font>
    <font>
      <b/>
      <sz val="10"/>
      <color rgb="FFFFFFFF"/>
      <name val="宋体"/>
      <charset val="134"/>
    </font>
    <font>
      <sz val="12"/>
      <name val="微软雅黑"/>
      <charset val="134"/>
    </font>
    <font>
      <b/>
      <sz val="12"/>
      <color theme="0"/>
      <name val="Times New Roman"/>
      <family val="1"/>
    </font>
    <font>
      <b/>
      <sz val="18"/>
      <color rgb="FF1F4E79"/>
      <name val="Times New Roman"/>
      <family val="1"/>
    </font>
    <font>
      <sz val="12"/>
      <color theme="0"/>
      <name val="Times New Roman"/>
      <family val="1"/>
    </font>
    <font>
      <sz val="12"/>
      <color theme="1"/>
      <name val="宋体"/>
      <charset val="134"/>
    </font>
    <font>
      <sz val="9"/>
      <name val="宋体"/>
      <family val="3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6E4F0"/>
        <bgColor rgb="FFD6E4F0"/>
      </patternFill>
    </fill>
    <fill>
      <patternFill patternType="solid">
        <fgColor rgb="FF4472C4"/>
        <bgColor rgb="FF4472C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/>
    <xf numFmtId="0" fontId="6" fillId="3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1" fillId="3" borderId="1" xfId="0" applyFont="1" applyFill="1" applyBorder="1" applyAlignment="1">
      <alignment horizontal="center" vertical="center" wrapText="1"/>
    </xf>
    <xf numFmtId="176" fontId="8" fillId="5" borderId="1" xfId="0" applyNumberFormat="1" applyFont="1" applyFill="1" applyBorder="1" applyAlignment="1">
      <alignment horizontal="center"/>
    </xf>
    <xf numFmtId="177" fontId="8" fillId="5" borderId="1" xfId="0" applyNumberFormat="1" applyFont="1" applyFill="1" applyBorder="1" applyAlignment="1">
      <alignment horizontal="center" vertical="center"/>
    </xf>
    <xf numFmtId="177" fontId="8" fillId="5" borderId="1" xfId="0" applyNumberFormat="1" applyFont="1" applyFill="1" applyBorder="1" applyAlignment="1">
      <alignment horizontal="center"/>
    </xf>
    <xf numFmtId="0" fontId="8" fillId="5" borderId="1" xfId="0" applyFont="1" applyFill="1" applyBorder="1" applyAlignment="1">
      <alignment horizontal="center"/>
    </xf>
    <xf numFmtId="178" fontId="8" fillId="5" borderId="1" xfId="0" applyNumberFormat="1" applyFont="1" applyFill="1" applyBorder="1" applyAlignment="1">
      <alignment horizontal="center"/>
    </xf>
    <xf numFmtId="0" fontId="8" fillId="4" borderId="1" xfId="0" applyFont="1" applyFill="1" applyBorder="1" applyAlignment="1">
      <alignment horizontal="center"/>
    </xf>
    <xf numFmtId="0" fontId="12" fillId="3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center" vertical="center" wrapText="1"/>
    </xf>
    <xf numFmtId="0" fontId="9" fillId="5" borderId="1" xfId="0" applyFont="1" applyFill="1" applyBorder="1" applyAlignment="1">
      <alignment horizontal="center" vertical="center" wrapText="1"/>
    </xf>
    <xf numFmtId="0" fontId="14" fillId="4" borderId="1" xfId="0" applyFont="1" applyFill="1" applyBorder="1" applyAlignment="1">
      <alignment horizontal="center" vertical="center" wrapText="1"/>
    </xf>
    <xf numFmtId="0" fontId="4" fillId="2" borderId="2" xfId="0" applyFont="1" applyFill="1" applyBorder="1" applyAlignment="1">
      <alignment horizontal="center" vertical="center" wrapText="1"/>
    </xf>
    <xf numFmtId="0" fontId="5" fillId="2" borderId="3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3" borderId="5" xfId="0" applyFont="1" applyFill="1" applyBorder="1" applyAlignment="1">
      <alignment horizontal="center" vertical="center" wrapText="1"/>
    </xf>
    <xf numFmtId="0" fontId="7" fillId="3" borderId="6" xfId="0" applyFont="1" applyFill="1" applyBorder="1" applyAlignment="1">
      <alignment horizontal="center" vertical="center" wrapText="1"/>
    </xf>
    <xf numFmtId="0" fontId="7" fillId="3" borderId="7" xfId="0" applyFont="1" applyFill="1" applyBorder="1" applyAlignment="1">
      <alignment horizontal="center" vertical="center" wrapText="1"/>
    </xf>
    <xf numFmtId="0" fontId="7" fillId="3" borderId="8" xfId="0" applyFont="1" applyFill="1" applyBorder="1" applyAlignment="1">
      <alignment horizontal="center" vertical="center" wrapText="1"/>
    </xf>
    <xf numFmtId="0" fontId="6" fillId="3" borderId="2" xfId="0" applyFont="1" applyFill="1" applyBorder="1" applyAlignment="1">
      <alignment horizontal="center" vertical="center" wrapText="1"/>
    </xf>
    <xf numFmtId="0" fontId="7" fillId="3" borderId="3" xfId="0" applyFont="1" applyFill="1" applyBorder="1" applyAlignment="1">
      <alignment horizontal="center" vertical="center" wrapText="1"/>
    </xf>
    <xf numFmtId="0" fontId="7" fillId="3" borderId="4" xfId="0" applyFont="1" applyFill="1" applyBorder="1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0" fontId="9" fillId="4" borderId="4" xfId="0" applyFont="1" applyFill="1" applyBorder="1" applyAlignment="1">
      <alignment horizontal="center" vertical="center" wrapText="1"/>
    </xf>
    <xf numFmtId="0" fontId="8" fillId="4" borderId="2" xfId="0" applyFont="1" applyFill="1" applyBorder="1" applyAlignment="1">
      <alignment horizontal="center"/>
    </xf>
    <xf numFmtId="0" fontId="8" fillId="4" borderId="4" xfId="0" applyFont="1" applyFill="1" applyBorder="1" applyAlignment="1">
      <alignment horizontal="center"/>
    </xf>
    <xf numFmtId="0" fontId="8" fillId="4" borderId="2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 vertical="center"/>
    </xf>
    <xf numFmtId="0" fontId="8" fillId="4" borderId="3" xfId="0" applyFont="1" applyFill="1" applyBorder="1" applyAlignment="1">
      <alignment horizontal="center"/>
    </xf>
    <xf numFmtId="0" fontId="2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/>
    </xf>
  </cellXfs>
  <cellStyles count="1">
    <cellStyle name="常规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4472C4"/>
  </sheetPr>
  <dimension ref="A1:K18"/>
  <sheetViews>
    <sheetView tabSelected="1" workbookViewId="0">
      <selection activeCell="N12" sqref="N12"/>
    </sheetView>
  </sheetViews>
  <sheetFormatPr defaultColWidth="9" defaultRowHeight="15" x14ac:dyDescent="0.25"/>
  <cols>
    <col min="1" max="1" width="15.625" style="1" customWidth="1"/>
    <col min="2" max="8" width="12" style="1" customWidth="1"/>
    <col min="9" max="9" width="14.875" style="1" customWidth="1"/>
    <col min="10" max="11" width="12" style="1" customWidth="1"/>
    <col min="12" max="16384" width="9" style="1"/>
  </cols>
  <sheetData>
    <row r="1" spans="1:11" ht="23.25" x14ac:dyDescent="0.35">
      <c r="A1" s="33" t="s">
        <v>0</v>
      </c>
      <c r="B1" s="34"/>
      <c r="C1" s="34"/>
      <c r="D1" s="34"/>
      <c r="E1" s="34"/>
      <c r="F1" s="34"/>
      <c r="G1" s="34"/>
      <c r="H1" s="34"/>
      <c r="I1" s="34"/>
      <c r="J1" s="34"/>
      <c r="K1" s="34"/>
    </row>
    <row r="2" spans="1:11" ht="18.75" x14ac:dyDescent="0.25">
      <c r="A2" s="16" t="s">
        <v>1</v>
      </c>
      <c r="B2" s="17"/>
      <c r="C2" s="17"/>
      <c r="D2" s="17"/>
      <c r="E2" s="17"/>
      <c r="F2" s="17"/>
      <c r="G2" s="17"/>
      <c r="H2" s="17"/>
      <c r="I2" s="17"/>
      <c r="J2" s="17"/>
      <c r="K2" s="18"/>
    </row>
    <row r="3" spans="1:11" ht="15.75" x14ac:dyDescent="0.25">
      <c r="A3" s="23" t="s">
        <v>2</v>
      </c>
      <c r="B3" s="24"/>
      <c r="C3" s="25"/>
      <c r="D3" s="23" t="s">
        <v>3</v>
      </c>
      <c r="E3" s="24"/>
      <c r="F3" s="25"/>
      <c r="G3" s="23" t="s">
        <v>4</v>
      </c>
      <c r="H3" s="24"/>
      <c r="I3" s="25"/>
      <c r="J3" s="23" t="s">
        <v>5</v>
      </c>
      <c r="K3" s="25"/>
    </row>
    <row r="4" spans="1:11" ht="15.75" x14ac:dyDescent="0.25">
      <c r="A4" s="28" t="s">
        <v>6</v>
      </c>
      <c r="B4" s="32"/>
      <c r="C4" s="29"/>
      <c r="D4" s="28" t="s">
        <v>7</v>
      </c>
      <c r="E4" s="32"/>
      <c r="F4" s="32"/>
      <c r="G4" s="28" t="s">
        <v>8</v>
      </c>
      <c r="H4" s="32"/>
      <c r="I4" s="32"/>
      <c r="J4" s="28" t="s">
        <v>9</v>
      </c>
      <c r="K4" s="29"/>
    </row>
    <row r="5" spans="1:11" ht="18.75" x14ac:dyDescent="0.25">
      <c r="A5" s="16" t="s">
        <v>10</v>
      </c>
      <c r="B5" s="17"/>
      <c r="C5" s="17"/>
      <c r="D5" s="17"/>
      <c r="E5" s="17"/>
      <c r="F5" s="17"/>
      <c r="G5" s="17"/>
      <c r="H5" s="17"/>
      <c r="I5" s="17"/>
      <c r="J5" s="17"/>
      <c r="K5" s="18"/>
    </row>
    <row r="6" spans="1:11" ht="15.75" x14ac:dyDescent="0.25">
      <c r="A6" s="23" t="s">
        <v>11</v>
      </c>
      <c r="B6" s="24"/>
      <c r="C6" s="25"/>
      <c r="D6" s="23" t="s">
        <v>12</v>
      </c>
      <c r="E6" s="24"/>
      <c r="F6" s="25"/>
      <c r="G6" s="23" t="s">
        <v>13</v>
      </c>
      <c r="H6" s="24"/>
      <c r="I6" s="25"/>
      <c r="J6" s="23" t="s">
        <v>14</v>
      </c>
      <c r="K6" s="25"/>
    </row>
    <row r="7" spans="1:11" ht="15.75" x14ac:dyDescent="0.25">
      <c r="A7" s="30">
        <v>80</v>
      </c>
      <c r="B7" s="31"/>
      <c r="C7" s="31"/>
      <c r="D7" s="28">
        <v>650</v>
      </c>
      <c r="E7" s="32"/>
      <c r="F7" s="32"/>
      <c r="G7" s="28"/>
      <c r="H7" s="32"/>
      <c r="I7" s="32"/>
      <c r="J7" s="28"/>
      <c r="K7" s="29"/>
    </row>
    <row r="8" spans="1:11" ht="18.75" x14ac:dyDescent="0.25">
      <c r="A8" s="16" t="s">
        <v>15</v>
      </c>
      <c r="B8" s="17"/>
      <c r="C8" s="17"/>
      <c r="D8" s="17"/>
      <c r="E8" s="17"/>
      <c r="F8" s="17"/>
      <c r="G8" s="17"/>
      <c r="H8" s="17"/>
      <c r="I8" s="17"/>
      <c r="J8" s="17"/>
      <c r="K8" s="18"/>
    </row>
    <row r="9" spans="1:11" ht="15.75" x14ac:dyDescent="0.25">
      <c r="A9" s="19" t="s">
        <v>16</v>
      </c>
      <c r="B9" s="20"/>
      <c r="C9" s="23" t="s">
        <v>17</v>
      </c>
      <c r="D9" s="24"/>
      <c r="E9" s="24"/>
      <c r="F9" s="24"/>
      <c r="G9" s="24"/>
      <c r="H9" s="24"/>
      <c r="I9" s="25"/>
      <c r="J9" s="19" t="s">
        <v>18</v>
      </c>
      <c r="K9" s="20"/>
    </row>
    <row r="10" spans="1:11" ht="18" x14ac:dyDescent="0.25">
      <c r="A10" s="21"/>
      <c r="B10" s="22"/>
      <c r="C10" s="2" t="s">
        <v>19</v>
      </c>
      <c r="D10" s="2" t="s">
        <v>20</v>
      </c>
      <c r="E10" s="2" t="s">
        <v>21</v>
      </c>
      <c r="F10" s="2" t="s">
        <v>22</v>
      </c>
      <c r="G10" s="2" t="s">
        <v>23</v>
      </c>
      <c r="H10" s="2" t="s">
        <v>24</v>
      </c>
      <c r="I10" s="2" t="s">
        <v>25</v>
      </c>
      <c r="J10" s="21"/>
      <c r="K10" s="22"/>
    </row>
    <row r="11" spans="1:11" ht="15.75" x14ac:dyDescent="0.25">
      <c r="A11" s="26">
        <v>50</v>
      </c>
      <c r="B11" s="27"/>
      <c r="C11" s="3">
        <v>3100</v>
      </c>
      <c r="D11" s="3">
        <v>2300</v>
      </c>
      <c r="E11" s="3">
        <v>2900</v>
      </c>
      <c r="F11" s="3">
        <v>2100</v>
      </c>
      <c r="G11" s="3">
        <v>2400</v>
      </c>
      <c r="H11" s="3">
        <v>2700</v>
      </c>
      <c r="I11" s="3">
        <v>2650</v>
      </c>
      <c r="J11" s="28">
        <v>20</v>
      </c>
      <c r="K11" s="29"/>
    </row>
    <row r="12" spans="1:11" ht="18.75" x14ac:dyDescent="0.25">
      <c r="A12" s="16" t="s">
        <v>26</v>
      </c>
      <c r="B12" s="17"/>
      <c r="C12" s="17"/>
      <c r="D12" s="17"/>
      <c r="E12" s="17"/>
      <c r="F12" s="17"/>
      <c r="G12" s="17"/>
      <c r="H12" s="17"/>
      <c r="I12" s="17"/>
      <c r="J12" s="17"/>
      <c r="K12" s="18"/>
    </row>
    <row r="13" spans="1:11" ht="18" x14ac:dyDescent="0.25">
      <c r="A13" s="4" t="s">
        <v>27</v>
      </c>
      <c r="B13" s="5" t="s">
        <v>28</v>
      </c>
      <c r="C13" s="5" t="s">
        <v>29</v>
      </c>
      <c r="D13" s="5" t="s">
        <v>30</v>
      </c>
      <c r="E13" s="5" t="s">
        <v>31</v>
      </c>
      <c r="F13" s="5" t="s">
        <v>32</v>
      </c>
      <c r="G13" s="5" t="s">
        <v>33</v>
      </c>
      <c r="H13" s="4" t="s">
        <v>34</v>
      </c>
      <c r="I13" s="4" t="s">
        <v>35</v>
      </c>
      <c r="J13" s="4" t="s">
        <v>36</v>
      </c>
      <c r="K13" s="4" t="s">
        <v>37</v>
      </c>
    </row>
    <row r="14" spans="1:11" ht="15.75" x14ac:dyDescent="0.25">
      <c r="A14" s="6">
        <f>I17/G14</f>
        <v>0.21052631578947367</v>
      </c>
      <c r="B14" s="7">
        <f>100-C14-D14-E14-F14</f>
        <v>70.175438596491233</v>
      </c>
      <c r="C14" s="8">
        <f>C17/$G$14*100</f>
        <v>7.0175438596491224</v>
      </c>
      <c r="D14" s="8">
        <f>D17/$G$14*100</f>
        <v>8.7719298245614024</v>
      </c>
      <c r="E14" s="8">
        <f>E17/$G$14*100</f>
        <v>10.526315789473683</v>
      </c>
      <c r="F14" s="8">
        <f>F17/$G$14*100</f>
        <v>3.5087719298245612</v>
      </c>
      <c r="G14" s="9">
        <f>B17+C17+D17+E17+F17</f>
        <v>570</v>
      </c>
      <c r="H14" s="10">
        <f>H17/(H17+G17)*100</f>
        <v>44.444444444444443</v>
      </c>
      <c r="I14" s="6">
        <f>G17/H11</f>
        <v>0.37037037037037035</v>
      </c>
      <c r="J14" s="6">
        <f>J17/G14*100</f>
        <v>1.7543859649122806</v>
      </c>
      <c r="K14" s="11">
        <v>0.01</v>
      </c>
    </row>
    <row r="15" spans="1:11" ht="18.75" x14ac:dyDescent="0.25">
      <c r="A15" s="16" t="s">
        <v>38</v>
      </c>
      <c r="B15" s="17"/>
      <c r="C15" s="17"/>
      <c r="D15" s="17"/>
      <c r="E15" s="17"/>
      <c r="F15" s="17"/>
      <c r="G15" s="17"/>
      <c r="H15" s="17"/>
      <c r="I15" s="17"/>
      <c r="J15" s="17"/>
      <c r="K15" s="18"/>
    </row>
    <row r="16" spans="1:11" ht="18" x14ac:dyDescent="0.25">
      <c r="A16" s="12" t="s">
        <v>39</v>
      </c>
      <c r="B16" s="2" t="s">
        <v>19</v>
      </c>
      <c r="C16" s="2" t="s">
        <v>20</v>
      </c>
      <c r="D16" s="2" t="s">
        <v>21</v>
      </c>
      <c r="E16" s="2" t="s">
        <v>22</v>
      </c>
      <c r="F16" s="2" t="s">
        <v>23</v>
      </c>
      <c r="G16" s="2" t="s">
        <v>24</v>
      </c>
      <c r="H16" s="2" t="s">
        <v>25</v>
      </c>
      <c r="I16" s="2" t="s">
        <v>40</v>
      </c>
      <c r="J16" s="2" t="s">
        <v>41</v>
      </c>
      <c r="K16" s="2" t="s">
        <v>42</v>
      </c>
    </row>
    <row r="17" spans="1:11" ht="15.75" x14ac:dyDescent="0.25">
      <c r="A17" s="13" t="s">
        <v>43</v>
      </c>
      <c r="B17" s="3">
        <v>400</v>
      </c>
      <c r="C17" s="3">
        <v>40</v>
      </c>
      <c r="D17" s="3">
        <v>50</v>
      </c>
      <c r="E17" s="3">
        <v>60</v>
      </c>
      <c r="F17" s="3">
        <v>20</v>
      </c>
      <c r="G17" s="3">
        <v>1000</v>
      </c>
      <c r="H17" s="3">
        <v>800</v>
      </c>
      <c r="I17" s="3">
        <v>120</v>
      </c>
      <c r="J17" s="3">
        <v>10</v>
      </c>
      <c r="K17" s="14">
        <f>SUM(B17:J17)</f>
        <v>2500</v>
      </c>
    </row>
    <row r="18" spans="1:11" ht="20.100000000000001" customHeight="1" x14ac:dyDescent="0.25">
      <c r="A18" s="15">
        <v>20</v>
      </c>
      <c r="B18" s="14">
        <f>B17*$A$18/1000</f>
        <v>8</v>
      </c>
      <c r="C18" s="14">
        <f t="shared" ref="C18:J18" si="0">C17*$A$18/1000</f>
        <v>0.8</v>
      </c>
      <c r="D18" s="14">
        <f t="shared" si="0"/>
        <v>1</v>
      </c>
      <c r="E18" s="14">
        <f t="shared" si="0"/>
        <v>1.2</v>
      </c>
      <c r="F18" s="14">
        <f t="shared" si="0"/>
        <v>0.4</v>
      </c>
      <c r="G18" s="14">
        <f t="shared" si="0"/>
        <v>20</v>
      </c>
      <c r="H18" s="14">
        <f t="shared" si="0"/>
        <v>16</v>
      </c>
      <c r="I18" s="14">
        <f t="shared" si="0"/>
        <v>2.4</v>
      </c>
      <c r="J18" s="14">
        <f t="shared" si="0"/>
        <v>0.2</v>
      </c>
      <c r="K18" s="14">
        <f>K17*$A$18/1000</f>
        <v>50</v>
      </c>
    </row>
  </sheetData>
  <mergeCells count="27">
    <mergeCell ref="A1:K1"/>
    <mergeCell ref="A2:K2"/>
    <mergeCell ref="A3:C3"/>
    <mergeCell ref="D3:F3"/>
    <mergeCell ref="G3:I3"/>
    <mergeCell ref="J3:K3"/>
    <mergeCell ref="A4:C4"/>
    <mergeCell ref="D4:F4"/>
    <mergeCell ref="G4:I4"/>
    <mergeCell ref="J4:K4"/>
    <mergeCell ref="A5:K5"/>
    <mergeCell ref="A6:C6"/>
    <mergeCell ref="D6:F6"/>
    <mergeCell ref="G6:I6"/>
    <mergeCell ref="J6:K6"/>
    <mergeCell ref="A7:C7"/>
    <mergeCell ref="D7:F7"/>
    <mergeCell ref="G7:I7"/>
    <mergeCell ref="J7:K7"/>
    <mergeCell ref="A15:K15"/>
    <mergeCell ref="A9:B10"/>
    <mergeCell ref="J9:K10"/>
    <mergeCell ref="A8:K8"/>
    <mergeCell ref="C9:I9"/>
    <mergeCell ref="A11:B11"/>
    <mergeCell ref="J11:K11"/>
    <mergeCell ref="A12:K12"/>
  </mergeCells>
  <phoneticPr fontId="19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配比导入模板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步 漫</cp:lastModifiedBy>
  <dcterms:created xsi:type="dcterms:W3CDTF">2026-06-23T06:56:00Z</dcterms:created>
  <dcterms:modified xsi:type="dcterms:W3CDTF">2026-06-24T05:49:10Z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287BE35D8DE5441F9D4E1BEC466A33A2_12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